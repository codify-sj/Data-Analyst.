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amsh\Downloads\Upload Github\Excel\"/>
    </mc:Choice>
  </mc:AlternateContent>
  <xr:revisionPtr revIDLastSave="0" documentId="13_ncr:1_{9ED3FEFB-E6C4-485A-B82C-3ED6E1E8176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Conditional" sheetId="2" r:id="rId1"/>
    <sheet name="2. Handling Null and Duplicate" sheetId="5" r:id="rId2"/>
    <sheet name="Sheet1" sheetId="6" r:id="rId3"/>
  </sheets>
  <definedNames>
    <definedName name="_xlnm._FilterDatabase" localSheetId="0" hidden="1">'1. Conditional'!$E$6:$L$13</definedName>
    <definedName name="_xlnm._FilterDatabase" localSheetId="1" hidden="1">'2. Handling Null and Duplicate'!$B$37:$E$47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6" l="1"/>
  <c r="G6" i="6"/>
  <c r="G7" i="6"/>
  <c r="G8" i="6"/>
  <c r="G9" i="6"/>
  <c r="G10" i="6"/>
  <c r="G11" i="6"/>
  <c r="G4" i="6"/>
  <c r="F5" i="6"/>
  <c r="F6" i="6"/>
  <c r="F7" i="6"/>
  <c r="F8" i="6"/>
  <c r="F9" i="6"/>
  <c r="F10" i="6"/>
  <c r="F11" i="6"/>
  <c r="F4" i="6"/>
  <c r="E5" i="6"/>
  <c r="E6" i="6"/>
  <c r="E7" i="6"/>
  <c r="E8" i="6"/>
  <c r="E9" i="6"/>
  <c r="E10" i="6"/>
  <c r="E11" i="6"/>
  <c r="E4" i="6"/>
  <c r="X12" i="2" l="1"/>
  <c r="X8" i="2"/>
  <c r="X9" i="2"/>
  <c r="X10" i="2"/>
  <c r="X11" i="2"/>
  <c r="X13" i="2"/>
  <c r="X14" i="2"/>
  <c r="X7" i="2"/>
  <c r="A7" i="2" l="1"/>
  <c r="A8" i="2"/>
  <c r="A9" i="2"/>
  <c r="A10" i="2"/>
  <c r="A11" i="2"/>
  <c r="A12" i="2"/>
  <c r="A13" i="2"/>
  <c r="A6" i="2"/>
  <c r="H13" i="2"/>
  <c r="G13" i="2" l="1"/>
  <c r="M13" i="2"/>
  <c r="D13" i="2"/>
  <c r="L13" i="2"/>
  <c r="B13" i="2"/>
  <c r="C13" i="2"/>
  <c r="N13" i="2"/>
  <c r="F65" i="5" l="1"/>
  <c r="G65" i="5"/>
  <c r="H65" i="5"/>
  <c r="F66" i="5"/>
  <c r="G66" i="5"/>
  <c r="H66" i="5"/>
  <c r="F67" i="5"/>
  <c r="G67" i="5"/>
  <c r="H67" i="5"/>
  <c r="F68" i="5"/>
  <c r="G68" i="5"/>
  <c r="H68" i="5"/>
  <c r="F69" i="5"/>
  <c r="G69" i="5"/>
  <c r="H69" i="5"/>
  <c r="F70" i="5"/>
  <c r="G70" i="5"/>
  <c r="H70" i="5"/>
  <c r="F71" i="5"/>
  <c r="G71" i="5"/>
  <c r="H71" i="5"/>
  <c r="F72" i="5"/>
  <c r="G72" i="5"/>
  <c r="H72" i="5"/>
  <c r="D74" i="5"/>
  <c r="D75" i="5"/>
  <c r="D76" i="5"/>
  <c r="H51" i="5"/>
  <c r="H52" i="5"/>
  <c r="H53" i="5"/>
  <c r="H54" i="5"/>
  <c r="H55" i="5"/>
  <c r="H56" i="5"/>
  <c r="H57" i="5"/>
  <c r="H58" i="5"/>
  <c r="H59" i="5"/>
  <c r="H50" i="5"/>
  <c r="F51" i="5"/>
  <c r="G51" i="5" s="1"/>
  <c r="F55" i="5"/>
  <c r="G55" i="5" s="1"/>
  <c r="F50" i="5"/>
  <c r="G50" i="5" s="1"/>
  <c r="C50" i="5" a="1"/>
  <c r="C50" i="5" s="1"/>
  <c r="C51" i="5" a="1"/>
  <c r="C51" i="5" s="1"/>
  <c r="C52" i="5" a="1"/>
  <c r="C52" i="5" s="1"/>
  <c r="C53" i="5" a="1"/>
  <c r="C53" i="5" s="1"/>
  <c r="C54" i="5" a="1"/>
  <c r="C54" i="5" s="1"/>
  <c r="C55" i="5" a="1"/>
  <c r="C55" i="5" s="1"/>
  <c r="C56" i="5" a="1"/>
  <c r="C56" i="5" s="1"/>
  <c r="C57" i="5" a="1"/>
  <c r="C57" i="5" s="1"/>
  <c r="C58" i="5" a="1"/>
  <c r="C58" i="5" s="1"/>
  <c r="C59" i="5" a="1"/>
  <c r="C59" i="5" s="1"/>
  <c r="C47" i="5" a="1"/>
  <c r="C47" i="5" s="1"/>
  <c r="C46" i="5" a="1"/>
  <c r="C46" i="5" s="1"/>
  <c r="C45" i="5" a="1"/>
  <c r="C45" i="5" s="1"/>
  <c r="C44" i="5" a="1"/>
  <c r="C44" i="5" s="1"/>
  <c r="C43" i="5" a="1"/>
  <c r="C43" i="5" s="1"/>
  <c r="C42" i="5" a="1"/>
  <c r="C42" i="5" s="1"/>
  <c r="C41" i="5" a="1"/>
  <c r="C41" i="5" s="1"/>
  <c r="C40" i="5" a="1"/>
  <c r="C40" i="5" s="1"/>
  <c r="C39" i="5" a="1"/>
  <c r="C39" i="5" s="1"/>
  <c r="C38" i="5" a="1"/>
  <c r="C38" i="5" s="1"/>
  <c r="C34" i="5" a="1"/>
  <c r="C34" i="5" s="1"/>
  <c r="C33" i="5" a="1"/>
  <c r="C33" i="5" s="1"/>
  <c r="C32" i="5" a="1"/>
  <c r="C32" i="5" s="1"/>
  <c r="C31" i="5" a="1"/>
  <c r="C31" i="5" s="1"/>
  <c r="C30" i="5" a="1"/>
  <c r="C30" i="5" s="1"/>
  <c r="C28" i="5" a="1"/>
  <c r="C28" i="5" s="1"/>
  <c r="C24" i="5" a="1"/>
  <c r="C24" i="5" s="1"/>
  <c r="C23" i="5" a="1"/>
  <c r="C23" i="5" s="1"/>
  <c r="C22" i="5" a="1"/>
  <c r="C22" i="5" s="1"/>
  <c r="C21" i="5" a="1"/>
  <c r="C21" i="5" s="1"/>
  <c r="C20" i="5" a="1"/>
  <c r="C20" i="5" s="1"/>
  <c r="C19" i="5" a="1"/>
  <c r="C19" i="5" s="1"/>
  <c r="C18" i="5" a="1"/>
  <c r="C18" i="5" s="1"/>
  <c r="C17" i="5" a="1"/>
  <c r="C17" i="5" s="1"/>
  <c r="C16" i="5" a="1"/>
  <c r="C16" i="5" s="1"/>
  <c r="C5" i="5" a="1"/>
  <c r="C5" i="5" s="1"/>
  <c r="C8" i="5" a="1"/>
  <c r="C8" i="5" s="1"/>
  <c r="C4" i="5" a="1"/>
  <c r="C4" i="5" s="1"/>
  <c r="C6" i="5" a="1"/>
  <c r="C6" i="5" s="1"/>
  <c r="C7" i="5" a="1"/>
  <c r="C7" i="5" s="1"/>
  <c r="C9" i="5" a="1"/>
  <c r="C9" i="5" s="1"/>
  <c r="C10" i="5" a="1"/>
  <c r="C10" i="5" s="1"/>
  <c r="C11" i="5" a="1"/>
  <c r="C11" i="5" s="1"/>
  <c r="C12" i="5" a="1"/>
  <c r="C12" i="5" s="1"/>
  <c r="C13" i="5" a="1"/>
  <c r="C13" i="5" s="1"/>
  <c r="F54" i="5" l="1"/>
  <c r="G54" i="5" s="1"/>
  <c r="F53" i="5"/>
  <c r="G53" i="5" s="1"/>
  <c r="F52" i="5"/>
  <c r="G52" i="5" s="1"/>
  <c r="F59" i="5"/>
  <c r="G59" i="5" s="1"/>
  <c r="F58" i="5"/>
  <c r="G58" i="5" s="1"/>
  <c r="F57" i="5"/>
  <c r="G57" i="5" s="1"/>
  <c r="F56" i="5"/>
  <c r="G56" i="5" s="1"/>
  <c r="G6" i="2"/>
  <c r="H6" i="2"/>
  <c r="D6" i="2"/>
  <c r="B6" i="2"/>
  <c r="M6" i="2"/>
  <c r="L6" i="2"/>
  <c r="C6" i="2"/>
  <c r="N6" i="2"/>
  <c r="C7" i="2"/>
  <c r="D7" i="2"/>
  <c r="B7" i="2"/>
  <c r="H7" i="2"/>
  <c r="G7" i="2"/>
  <c r="L7" i="2"/>
  <c r="M7" i="2"/>
  <c r="N7" i="2"/>
  <c r="D8" i="2"/>
  <c r="N8" i="2"/>
  <c r="B8" i="2"/>
  <c r="H8" i="2"/>
  <c r="L8" i="2"/>
  <c r="G8" i="2"/>
  <c r="M8" i="2"/>
  <c r="C8" i="2"/>
  <c r="C9" i="2"/>
  <c r="G9" i="2"/>
  <c r="N9" i="2"/>
  <c r="D9" i="2"/>
  <c r="L9" i="2"/>
  <c r="M9" i="2"/>
  <c r="B9" i="2"/>
  <c r="H9" i="2"/>
  <c r="M10" i="2"/>
  <c r="D10" i="2"/>
  <c r="L10" i="2"/>
  <c r="H10" i="2"/>
  <c r="B10" i="2"/>
  <c r="C10" i="2"/>
  <c r="N10" i="2"/>
  <c r="G10" i="2"/>
  <c r="N11" i="2"/>
  <c r="G11" i="2"/>
  <c r="L11" i="2"/>
  <c r="M11" i="2"/>
  <c r="D11" i="2"/>
  <c r="B11" i="2"/>
  <c r="C11" i="2"/>
  <c r="H11" i="2"/>
  <c r="M12" i="2"/>
  <c r="N12" i="2"/>
  <c r="G12" i="2"/>
  <c r="H12" i="2"/>
  <c r="L12" i="2"/>
  <c r="C12" i="2"/>
  <c r="B12" i="2"/>
  <c r="D12" i="2"/>
  <c r="I6" i="2"/>
  <c r="K6" i="2" s="1"/>
  <c r="I11" i="2"/>
  <c r="K11" i="2" s="1"/>
  <c r="J11" i="2"/>
  <c r="I12" i="2"/>
  <c r="K12" i="2" s="1"/>
  <c r="J12" i="2"/>
  <c r="J6" i="2"/>
  <c r="I7" i="2"/>
  <c r="K7" i="2" s="1"/>
  <c r="J7" i="2"/>
  <c r="J8" i="2"/>
  <c r="I8" i="2"/>
  <c r="K8" i="2"/>
  <c r="I9" i="2"/>
  <c r="K9" i="2" s="1"/>
  <c r="J9" i="2"/>
  <c r="J10" i="2"/>
  <c r="I10" i="2"/>
  <c r="K1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<sst xmlns="http://schemas.openxmlformats.org/spreadsheetml/2006/main" count="131" uniqueCount="52">
  <si>
    <t>Ashish</t>
  </si>
  <si>
    <t>IF</t>
  </si>
  <si>
    <t>AND</t>
  </si>
  <si>
    <t>OR</t>
  </si>
  <si>
    <t>NOT</t>
  </si>
  <si>
    <t>Name</t>
  </si>
  <si>
    <t>Age</t>
  </si>
  <si>
    <t>Manish</t>
  </si>
  <si>
    <t>Mani</t>
  </si>
  <si>
    <t>Mahesh</t>
  </si>
  <si>
    <t>Abhi</t>
  </si>
  <si>
    <t>Anubhav</t>
  </si>
  <si>
    <t>Pranav</t>
  </si>
  <si>
    <t>Anshul</t>
  </si>
  <si>
    <t>Manish Kumar</t>
  </si>
  <si>
    <t>Mani Jha</t>
  </si>
  <si>
    <t>Abhi Bajpai</t>
  </si>
  <si>
    <t>Anubhav Singh</t>
  </si>
  <si>
    <t>Pranav Singh</t>
  </si>
  <si>
    <t>Anshul Srivastava</t>
  </si>
  <si>
    <t>First Name</t>
  </si>
  <si>
    <t>Last Name</t>
  </si>
  <si>
    <t>Jha</t>
  </si>
  <si>
    <t>Remove Duplicate | All Columns</t>
  </si>
  <si>
    <t>Remove Duplicate | Single Column</t>
  </si>
  <si>
    <t>Mani Ram</t>
  </si>
  <si>
    <t>Handling Missing Data | Filters in Data</t>
  </si>
  <si>
    <t>ISBLANK</t>
  </si>
  <si>
    <t>IsBlank last_name</t>
  </si>
  <si>
    <t>Processed last_name</t>
  </si>
  <si>
    <t>Processed age</t>
  </si>
  <si>
    <t>IF with ISBLANK</t>
  </si>
  <si>
    <t>Salary</t>
  </si>
  <si>
    <t>Average</t>
  </si>
  <si>
    <t>Sum</t>
  </si>
  <si>
    <t>Round(Average)</t>
  </si>
  <si>
    <t xml:space="preserve">Fill Average </t>
  </si>
  <si>
    <t>Fill Round Average</t>
  </si>
  <si>
    <t>if(isblank)</t>
  </si>
  <si>
    <t>New Salary</t>
  </si>
  <si>
    <t>substitute</t>
  </si>
  <si>
    <t>Fill Missing Values</t>
  </si>
  <si>
    <t>Work Exp.</t>
  </si>
  <si>
    <t>IsNumeric</t>
  </si>
  <si>
    <t>ninty</t>
  </si>
  <si>
    <t>-</t>
  </si>
  <si>
    <t>Final Eligibility</t>
  </si>
  <si>
    <t>IsNumber</t>
  </si>
  <si>
    <t>Harsh</t>
  </si>
  <si>
    <t>Is_Number</t>
  </si>
  <si>
    <t>Eligible, Not Eligible, Not Valid, Not a number</t>
  </si>
  <si>
    <t>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</si>
</sst>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3" fontId="0" fillId="0" borderId="1" xfId="0" applyNumberFormat="1" applyBorder="1"/>
    <xf numFmtId="0" fontId="1" fillId="2" borderId="6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X15"/>
  <sheetViews>
    <sheetView topLeftCell="C1" zoomScale="103" workbookViewId="0">
      <selection activeCell="I6" sqref="I6"/>
    </sheetView>
  </sheetViews>
  <sheetFormatPr defaultColWidth="11" defaultRowHeight="15.6" x14ac:dyDescent="0.3"/>
  <cols>
    <col min="1" max="1" width="9.8984375" customWidth="1"/>
    <col min="2" max="2" width="9.59765625" customWidth="1"/>
    <col min="3" max="3" width="19.5" customWidth="1"/>
    <col min="8" max="8" width="12.59765625" customWidth="1"/>
    <col min="9" max="9" width="9.09765625" customWidth="1"/>
    <col min="10" max="10" width="9.3984375" customWidth="1"/>
    <col min="11" max="11" width="9.59765625" customWidth="1"/>
    <col min="12" max="12" width="18.59765625" customWidth="1"/>
    <col min="24" max="24" width="51.59765625" customWidth="1"/>
  </cols>
  <sheetData>
    <row r="5" spans="1:24" x14ac:dyDescent="0.3">
      <c r="D5" s="2" t="s">
        <v>49</v>
      </c>
      <c r="E5" s="4" t="s">
        <v>5</v>
      </c>
      <c r="F5" s="4" t="s">
        <v>6</v>
      </c>
      <c r="G5" s="4" t="s">
        <v>1</v>
      </c>
      <c r="H5" s="4" t="s">
        <v>43</v>
      </c>
      <c r="I5" s="4" t="s">
        <v>2</v>
      </c>
      <c r="J5" s="4" t="s">
        <v>3</v>
      </c>
      <c r="K5" s="4" t="s">
        <v>4</v>
      </c>
      <c r="L5" s="6" t="s">
        <v>46</v>
      </c>
      <c r="M5" s="6" t="s">
        <v>47</v>
      </c>
    </row>
    <row r="6" spans="1:24" x14ac:dyDescent="0.3">
      <c r="A6" t="b">
        <f>OR(F6&gt;100,F6&lt;0)</f>
        <v>0</v>
      </c>
      <c r="B6">
        <f>IF(ISNUMBER(F6),F6,-1)</f>
        <v>25</v>
      </c>
      <c r="C6" t="str">
        <f>IF(AND(F6&lt;=100,F6&gt;=18),"Eligible",IF(AND(F6&gt;=0,F6&lt;18),"Not Eligible","InvalidAge"))</f>
        <v>Eligible</v>
      </c>
      <c r="D6" s="1" t="b">
        <f>ISNUMBER(F6)</f>
        <v>1</v>
      </c>
      <c r="E6" s="1" t="s">
        <v>48</v>
      </c>
      <c r="F6" s="1">
        <v>25</v>
      </c>
      <c r="G6" s="1" t="str">
        <f>IF(F6&gt;=18,"Eligible","Not Eligible")</f>
        <v>Eligible</v>
      </c>
      <c r="H6" s="1" t="str">
        <f>IF(ISNUMBER(F6), IF(F6&gt;=18, "Eligible", "Not Eligible"), "Invalid Age")</f>
        <v>Eligible</v>
      </c>
      <c r="I6" s="1" t="b">
        <f t="shared" ref="I6:I12" si="0">AND(F6&gt;0, F6&lt;110)</f>
        <v>1</v>
      </c>
      <c r="J6" s="1" t="b">
        <f t="shared" ref="J6:J12" si="1">OR(F6&gt;0, F6&lt;110)</f>
        <v>1</v>
      </c>
      <c r="K6" s="1" t="b">
        <f>NOT(I6=TRUE)</f>
        <v>0</v>
      </c>
      <c r="L6" s="1" t="str">
        <f>IF(ISNUMBER(F6), IF(AND(F6&gt;=18, F6&lt;=120), "Eligible", "Not Eligible"), "Invalid Age")</f>
        <v>Eligible</v>
      </c>
      <c r="M6" t="b">
        <f>ISNUMBER(F6)</f>
        <v>1</v>
      </c>
      <c r="N6">
        <f>IF(ISNUMBER(F6),F6,"InValid Datatype")</f>
        <v>25</v>
      </c>
    </row>
    <row r="7" spans="1:24" x14ac:dyDescent="0.3">
      <c r="A7" t="b">
        <f t="shared" ref="A7:A13" si="2">OR(F7&gt;100,F7&lt;0)</f>
        <v>0</v>
      </c>
      <c r="B7">
        <f t="shared" ref="B7:B13" si="3">IF(ISNUMBER(F7),F7,-1)</f>
        <v>14</v>
      </c>
      <c r="C7" t="str">
        <f>IF(AND(F7&lt;=100,F7&gt;=18),"Eligible",IF(AND(F7&gt;=0,F7&lt;18),"Not Eligible","InvalidAge"))</f>
        <v>Not Eligible</v>
      </c>
      <c r="D7" s="1" t="b">
        <f t="shared" ref="D7:D13" si="4">ISNUMBER(F7)</f>
        <v>1</v>
      </c>
      <c r="E7" s="1" t="s">
        <v>7</v>
      </c>
      <c r="F7" s="1">
        <v>14</v>
      </c>
      <c r="G7" s="1" t="str">
        <f t="shared" ref="G7:G13" si="5">IF(F7&gt;=18,"Eligible","Not Eligible")</f>
        <v>Not Eligible</v>
      </c>
      <c r="H7" s="1" t="str">
        <f t="shared" ref="H7:H13" si="6">IF(ISNUMBER(F7), IF(F7&gt;=18, "Eligible", "Not Eligible"), "Invalid Age")</f>
        <v>Not Eligible</v>
      </c>
      <c r="I7" s="1" t="b">
        <f t="shared" si="0"/>
        <v>1</v>
      </c>
      <c r="J7" s="1" t="b">
        <f t="shared" si="1"/>
        <v>1</v>
      </c>
      <c r="K7" s="1" t="b">
        <f t="shared" ref="K7:K12" si="7">NOT(I7=TRUE)</f>
        <v>0</v>
      </c>
      <c r="L7" s="1" t="str">
        <f t="shared" ref="L7:L13" si="8">IF(ISNUMBER(F7), IF(AND(F7&gt;=18, F7&lt;=120), "Eligible", "Not Eligible"), "Invalid Age")</f>
        <v>Not Eligible</v>
      </c>
      <c r="M7" t="b">
        <f t="shared" ref="M7:M13" si="9">ISNUMBER(F7)</f>
        <v>1</v>
      </c>
      <c r="N7">
        <f t="shared" ref="N7:N13" si="10">IF(ISNUMBER(F7),F7,"InValid Datatype")</f>
        <v>14</v>
      </c>
      <c r="W7" s="1">
        <v>25</v>
      </c>
      <c r="X7" s="1" t="str">
        <f>IF(ISNUMBER(W7),IF(OR(W7&gt;100,W7&lt;0),"Not Valid",IF(AND(W7&gt;=0,W7&lt;18),"Not Eligible","Eligible")),"NAN")</f>
        <v>Eligible</v>
      </c>
    </row>
    <row r="8" spans="1:24" x14ac:dyDescent="0.3">
      <c r="A8" t="b">
        <f t="shared" si="2"/>
        <v>0</v>
      </c>
      <c r="B8">
        <f t="shared" si="3"/>
        <v>18</v>
      </c>
      <c r="C8" t="str">
        <f t="shared" ref="C8:C13" si="11">IF(AND(F8&lt;=100,F8&gt;=18),"Eligible",IF(AND(F8&gt;=0,F8&lt;18),"Not Eligible","InvalidAge"))</f>
        <v>Eligible</v>
      </c>
      <c r="D8" s="1" t="b">
        <f t="shared" si="4"/>
        <v>1</v>
      </c>
      <c r="E8" s="1" t="s">
        <v>8</v>
      </c>
      <c r="F8" s="1">
        <v>18</v>
      </c>
      <c r="G8" s="1" t="str">
        <f t="shared" si="5"/>
        <v>Eligible</v>
      </c>
      <c r="H8" s="1" t="str">
        <f t="shared" si="6"/>
        <v>Eligible</v>
      </c>
      <c r="I8" s="1" t="b">
        <f t="shared" si="0"/>
        <v>1</v>
      </c>
      <c r="J8" s="1" t="b">
        <f t="shared" si="1"/>
        <v>1</v>
      </c>
      <c r="K8" s="1" t="b">
        <f t="shared" si="7"/>
        <v>0</v>
      </c>
      <c r="L8" s="1" t="str">
        <f t="shared" si="8"/>
        <v>Eligible</v>
      </c>
      <c r="M8" t="b">
        <f t="shared" si="9"/>
        <v>1</v>
      </c>
      <c r="N8">
        <f t="shared" si="10"/>
        <v>18</v>
      </c>
      <c r="W8" s="1">
        <v>14</v>
      </c>
      <c r="X8" s="1" t="str">
        <f t="shared" ref="X8:X14" si="12">IF(ISNUMBER(W8),IF(OR(W8&gt;100,W8&lt;0),"Not Valid",IF(AND(W8&gt;=0,W8&lt;18),"Not Eligible","Eligible")),"NAN")</f>
        <v>Not Eligible</v>
      </c>
    </row>
    <row r="9" spans="1:24" x14ac:dyDescent="0.3">
      <c r="A9" t="b">
        <f t="shared" si="2"/>
        <v>0</v>
      </c>
      <c r="B9">
        <f t="shared" si="3"/>
        <v>17</v>
      </c>
      <c r="C9" t="str">
        <f t="shared" si="11"/>
        <v>Not Eligible</v>
      </c>
      <c r="D9" s="1" t="b">
        <f t="shared" si="4"/>
        <v>1</v>
      </c>
      <c r="E9" s="1" t="s">
        <v>9</v>
      </c>
      <c r="F9" s="1">
        <v>17</v>
      </c>
      <c r="G9" s="1" t="str">
        <f t="shared" si="5"/>
        <v>Not Eligible</v>
      </c>
      <c r="H9" s="1" t="str">
        <f t="shared" si="6"/>
        <v>Not Eligible</v>
      </c>
      <c r="I9" s="1" t="b">
        <f t="shared" si="0"/>
        <v>1</v>
      </c>
      <c r="J9" s="1" t="b">
        <f t="shared" si="1"/>
        <v>1</v>
      </c>
      <c r="K9" s="1" t="b">
        <f t="shared" si="7"/>
        <v>0</v>
      </c>
      <c r="L9" s="1" t="str">
        <f t="shared" si="8"/>
        <v>Not Eligible</v>
      </c>
      <c r="M9" t="b">
        <f t="shared" si="9"/>
        <v>1</v>
      </c>
      <c r="N9">
        <f t="shared" si="10"/>
        <v>17</v>
      </c>
      <c r="W9" s="1">
        <v>18</v>
      </c>
      <c r="X9" s="1" t="str">
        <f t="shared" si="12"/>
        <v>Eligible</v>
      </c>
    </row>
    <row r="10" spans="1:24" x14ac:dyDescent="0.3">
      <c r="A10" t="b">
        <f t="shared" si="2"/>
        <v>0</v>
      </c>
      <c r="B10">
        <f t="shared" si="3"/>
        <v>16</v>
      </c>
      <c r="C10" t="str">
        <f t="shared" si="11"/>
        <v>Not Eligible</v>
      </c>
      <c r="D10" s="1" t="b">
        <f t="shared" si="4"/>
        <v>1</v>
      </c>
      <c r="E10" s="1" t="s">
        <v>10</v>
      </c>
      <c r="F10" s="1">
        <v>16</v>
      </c>
      <c r="G10" s="1" t="str">
        <f t="shared" si="5"/>
        <v>Not Eligible</v>
      </c>
      <c r="H10" s="1" t="str">
        <f t="shared" si="6"/>
        <v>Not Eligible</v>
      </c>
      <c r="I10" s="1" t="b">
        <f t="shared" si="0"/>
        <v>1</v>
      </c>
      <c r="J10" s="1" t="b">
        <f t="shared" si="1"/>
        <v>1</v>
      </c>
      <c r="K10" s="1" t="b">
        <f t="shared" si="7"/>
        <v>0</v>
      </c>
      <c r="L10" s="1" t="str">
        <f t="shared" si="8"/>
        <v>Not Eligible</v>
      </c>
      <c r="M10" t="b">
        <f t="shared" si="9"/>
        <v>1</v>
      </c>
      <c r="N10">
        <f t="shared" si="10"/>
        <v>16</v>
      </c>
      <c r="W10" s="1">
        <v>17</v>
      </c>
      <c r="X10" s="1" t="str">
        <f t="shared" si="12"/>
        <v>Not Eligible</v>
      </c>
    </row>
    <row r="11" spans="1:24" x14ac:dyDescent="0.3">
      <c r="A11" t="b">
        <f t="shared" si="2"/>
        <v>0</v>
      </c>
      <c r="B11">
        <f t="shared" si="3"/>
        <v>22</v>
      </c>
      <c r="C11" t="str">
        <f t="shared" si="11"/>
        <v>Eligible</v>
      </c>
      <c r="D11" s="1" t="b">
        <f t="shared" si="4"/>
        <v>1</v>
      </c>
      <c r="E11" s="1" t="s">
        <v>11</v>
      </c>
      <c r="F11" s="1">
        <v>22</v>
      </c>
      <c r="G11" s="1" t="str">
        <f t="shared" si="5"/>
        <v>Eligible</v>
      </c>
      <c r="H11" s="1" t="str">
        <f t="shared" si="6"/>
        <v>Eligible</v>
      </c>
      <c r="I11" s="1" t="b">
        <f t="shared" si="0"/>
        <v>1</v>
      </c>
      <c r="J11" s="1" t="b">
        <f t="shared" si="1"/>
        <v>1</v>
      </c>
      <c r="K11" s="1" t="b">
        <f t="shared" si="7"/>
        <v>0</v>
      </c>
      <c r="L11" s="1" t="str">
        <f t="shared" si="8"/>
        <v>Eligible</v>
      </c>
      <c r="M11" t="b">
        <f t="shared" si="9"/>
        <v>1</v>
      </c>
      <c r="N11">
        <f t="shared" si="10"/>
        <v>22</v>
      </c>
      <c r="W11" s="1">
        <v>16</v>
      </c>
      <c r="X11" s="1" t="str">
        <f t="shared" si="12"/>
        <v>Not Eligible</v>
      </c>
    </row>
    <row r="12" spans="1:24" x14ac:dyDescent="0.3">
      <c r="A12" t="b">
        <f t="shared" si="2"/>
        <v>1</v>
      </c>
      <c r="B12">
        <f t="shared" si="3"/>
        <v>130</v>
      </c>
      <c r="C12" t="str">
        <f t="shared" si="11"/>
        <v>InvalidAge</v>
      </c>
      <c r="D12" s="1" t="b">
        <f t="shared" si="4"/>
        <v>1</v>
      </c>
      <c r="E12" s="1" t="s">
        <v>12</v>
      </c>
      <c r="F12" s="1">
        <v>130</v>
      </c>
      <c r="G12" s="1" t="str">
        <f t="shared" si="5"/>
        <v>Eligible</v>
      </c>
      <c r="H12" s="1" t="str">
        <f t="shared" si="6"/>
        <v>Eligible</v>
      </c>
      <c r="I12" s="1" t="b">
        <f t="shared" si="0"/>
        <v>0</v>
      </c>
      <c r="J12" s="1" t="b">
        <f t="shared" si="1"/>
        <v>1</v>
      </c>
      <c r="K12" s="1" t="b">
        <f t="shared" si="7"/>
        <v>1</v>
      </c>
      <c r="L12" s="1" t="str">
        <f t="shared" si="8"/>
        <v>Not Eligible</v>
      </c>
      <c r="M12" t="b">
        <f t="shared" si="9"/>
        <v>1</v>
      </c>
      <c r="N12">
        <f t="shared" si="10"/>
        <v>130</v>
      </c>
      <c r="W12" s="1">
        <v>22</v>
      </c>
      <c r="X12" s="1" t="str">
        <f>IF(ISNUMBER(W12),IF(OR(W12&gt;100,W12&lt;0),"Not YValid",IF(AND(W12&gt;=0,W12&lt;18),"Not Eligible","Eligible")),"NAN")</f>
        <v>Eligible</v>
      </c>
    </row>
    <row r="13" spans="1:24" x14ac:dyDescent="0.3">
      <c r="A13" t="b">
        <f t="shared" si="2"/>
        <v>1</v>
      </c>
      <c r="B13">
        <f t="shared" si="3"/>
        <v>-1</v>
      </c>
      <c r="C13" t="str">
        <f t="shared" si="11"/>
        <v>InvalidAge</v>
      </c>
      <c r="D13" s="1" t="b">
        <f t="shared" si="4"/>
        <v>0</v>
      </c>
      <c r="E13" s="1" t="s">
        <v>13</v>
      </c>
      <c r="F13" s="1" t="s">
        <v>44</v>
      </c>
      <c r="G13" s="1" t="str">
        <f t="shared" si="5"/>
        <v>Eligible</v>
      </c>
      <c r="H13" s="1" t="str">
        <f t="shared" si="6"/>
        <v>Invalid Age</v>
      </c>
      <c r="I13" s="1" t="s">
        <v>45</v>
      </c>
      <c r="J13" s="1" t="s">
        <v>45</v>
      </c>
      <c r="K13" s="1" t="s">
        <v>45</v>
      </c>
      <c r="L13" s="1" t="str">
        <f t="shared" si="8"/>
        <v>Invalid Age</v>
      </c>
      <c r="M13" t="b">
        <f t="shared" si="9"/>
        <v>0</v>
      </c>
      <c r="N13" t="str">
        <f t="shared" si="10"/>
        <v>InValid Datatype</v>
      </c>
      <c r="W13" s="1">
        <v>130</v>
      </c>
      <c r="X13" s="1" t="str">
        <f t="shared" si="12"/>
        <v>Not Valid</v>
      </c>
    </row>
    <row r="14" spans="1:24" x14ac:dyDescent="0.3">
      <c r="W14" s="1" t="s">
        <v>44</v>
      </c>
      <c r="X14" s="1" t="str">
        <f t="shared" si="12"/>
        <v>NAN</v>
      </c>
    </row>
    <row r="15" spans="1:24" x14ac:dyDescent="0.3">
      <c r="X15" t="s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3:H76"/>
  <sheetViews>
    <sheetView zoomScale="181" workbookViewId="0">
      <selection activeCell="F7" sqref="F7"/>
    </sheetView>
  </sheetViews>
  <sheetFormatPr defaultColWidth="11" defaultRowHeight="15.6" x14ac:dyDescent="0.3"/>
  <cols>
    <col min="2" max="2" width="18.09765625" customWidth="1"/>
    <col min="5" max="5" width="13.59765625" customWidth="1"/>
    <col min="6" max="6" width="17.59765625" customWidth="1"/>
    <col min="7" max="7" width="21.09765625" customWidth="1"/>
    <col min="8" max="8" width="20.3984375" customWidth="1"/>
    <col min="9" max="9" width="20.8984375" customWidth="1"/>
  </cols>
  <sheetData>
    <row r="3" spans="2:5" x14ac:dyDescent="0.3">
      <c r="B3" s="2" t="s">
        <v>5</v>
      </c>
      <c r="C3" s="2" t="s">
        <v>20</v>
      </c>
      <c r="D3" s="2" t="s">
        <v>21</v>
      </c>
      <c r="E3" s="2" t="s">
        <v>6</v>
      </c>
    </row>
    <row r="4" spans="2:5" x14ac:dyDescent="0.3">
      <c r="B4" s="1" t="s">
        <v>0</v>
      </c>
      <c r="C4" s="1" t="e" cm="1" vm="1">
        <f t="array" aca="1" ref="C4" ca="1">_xlfn.TEXTSPLIT(B4," ")</f>
        <v>#NAME?</v>
      </c>
      <c r="D4" s="1"/>
      <c r="E4" s="1">
        <v>25</v>
      </c>
    </row>
    <row r="5" spans="2:5" x14ac:dyDescent="0.3">
      <c r="B5" s="1" t="s">
        <v>0</v>
      </c>
      <c r="C5" s="1" t="e" cm="1" vm="1">
        <f t="array" aca="1" ref="C5" ca="1">_xlfn.TEXTSPLIT(B5," ")</f>
        <v>#NAME?</v>
      </c>
      <c r="D5" s="1"/>
      <c r="E5" s="1">
        <v>25</v>
      </c>
    </row>
    <row r="6" spans="2:5" x14ac:dyDescent="0.3">
      <c r="B6" s="1" t="s">
        <v>14</v>
      </c>
      <c r="C6" s="1" t="e" cm="1" vm="1">
        <f t="array" aca="1" ref="C6" ca="1">_xlfn.TEXTSPLIT(B6," ")</f>
        <v>#NAME?</v>
      </c>
      <c r="D6" s="1"/>
      <c r="E6" s="1"/>
    </row>
    <row r="7" spans="2:5" x14ac:dyDescent="0.3">
      <c r="B7" s="1" t="s">
        <v>15</v>
      </c>
      <c r="C7" s="1" t="e" cm="1" vm="1">
        <f t="array" aca="1" ref="C7" ca="1">_xlfn.TEXTSPLIT(B7," ")</f>
        <v>#NAME?</v>
      </c>
      <c r="D7" s="1"/>
      <c r="E7" s="1">
        <v>18</v>
      </c>
    </row>
    <row r="8" spans="2:5" x14ac:dyDescent="0.3">
      <c r="B8" s="1" t="s">
        <v>25</v>
      </c>
      <c r="C8" s="1" t="e" cm="1" vm="1">
        <f t="array" aca="1" ref="C8" ca="1">_xlfn.TEXTSPLIT(B8," ")</f>
        <v>#NAME?</v>
      </c>
      <c r="D8" s="1"/>
      <c r="E8" s="1">
        <v>18</v>
      </c>
    </row>
    <row r="9" spans="2:5" x14ac:dyDescent="0.3">
      <c r="B9" s="1" t="s">
        <v>9</v>
      </c>
      <c r="C9" s="1" t="e" cm="1" vm="1">
        <f t="array" aca="1" ref="C9" ca="1">_xlfn.TEXTSPLIT(B9," ")</f>
        <v>#NAME?</v>
      </c>
      <c r="D9" s="1"/>
      <c r="E9" s="1">
        <v>17</v>
      </c>
    </row>
    <row r="10" spans="2:5" x14ac:dyDescent="0.3">
      <c r="B10" s="1" t="s">
        <v>16</v>
      </c>
      <c r="C10" s="1" t="e" cm="1" vm="1">
        <f t="array" aca="1" ref="C10" ca="1">_xlfn.TEXTSPLIT(B10," ")</f>
        <v>#NAME?</v>
      </c>
      <c r="D10" s="1"/>
      <c r="E10" s="1"/>
    </row>
    <row r="11" spans="2:5" x14ac:dyDescent="0.3">
      <c r="B11" s="1" t="s">
        <v>17</v>
      </c>
      <c r="C11" s="1" t="e" cm="1" vm="1">
        <f t="array" aca="1" ref="C11" ca="1">_xlfn.TEXTSPLIT(B11," ")</f>
        <v>#NAME?</v>
      </c>
      <c r="D11" s="1"/>
      <c r="E11" s="1">
        <v>22</v>
      </c>
    </row>
    <row r="12" spans="2:5" x14ac:dyDescent="0.3">
      <c r="B12" s="1" t="s">
        <v>18</v>
      </c>
      <c r="C12" s="1" t="e" cm="1" vm="1">
        <f t="array" aca="1" ref="C12" ca="1">_xlfn.TEXTSPLIT(B12," ")</f>
        <v>#NAME?</v>
      </c>
      <c r="D12" s="1"/>
      <c r="E12" s="1"/>
    </row>
    <row r="13" spans="2:5" x14ac:dyDescent="0.3">
      <c r="B13" s="1" t="s">
        <v>19</v>
      </c>
      <c r="C13" s="1" t="e" cm="1" vm="1">
        <f t="array" aca="1" ref="C13" ca="1">_xlfn.TEXTSPLIT(B13," ")</f>
        <v>#NAME?</v>
      </c>
      <c r="D13" s="1"/>
      <c r="E13" s="1">
        <v>28</v>
      </c>
    </row>
    <row r="15" spans="2:5" x14ac:dyDescent="0.3">
      <c r="B15" s="7" t="s">
        <v>23</v>
      </c>
      <c r="C15" s="8"/>
      <c r="D15" s="8"/>
      <c r="E15" s="9"/>
    </row>
    <row r="16" spans="2:5" x14ac:dyDescent="0.3">
      <c r="B16" s="1" t="s">
        <v>0</v>
      </c>
      <c r="C16" s="1" t="e" cm="1" vm="1">
        <f t="array" aca="1" ref="C16" ca="1">_xlfn.TEXTSPLIT(B16," ")</f>
        <v>#NAME?</v>
      </c>
      <c r="D16" s="1"/>
      <c r="E16" s="1">
        <v>25</v>
      </c>
    </row>
    <row r="17" spans="2:5" x14ac:dyDescent="0.3">
      <c r="B17" s="1" t="s">
        <v>14</v>
      </c>
      <c r="C17" s="1" t="e" cm="1" vm="1">
        <f t="array" aca="1" ref="C17" ca="1">_xlfn.TEXTSPLIT(B17," ")</f>
        <v>#NAME?</v>
      </c>
      <c r="D17" s="1"/>
      <c r="E17" s="1"/>
    </row>
    <row r="18" spans="2:5" x14ac:dyDescent="0.3">
      <c r="B18" s="1" t="s">
        <v>15</v>
      </c>
      <c r="C18" s="1" t="e" cm="1" vm="1">
        <f t="array" aca="1" ref="C18" ca="1">_xlfn.TEXTSPLIT(B18," ")</f>
        <v>#NAME?</v>
      </c>
      <c r="D18" s="1"/>
      <c r="E18" s="1">
        <v>18</v>
      </c>
    </row>
    <row r="19" spans="2:5" x14ac:dyDescent="0.3">
      <c r="B19" s="1" t="s">
        <v>25</v>
      </c>
      <c r="C19" s="1" t="e" cm="1" vm="1">
        <f t="array" aca="1" ref="C19" ca="1">_xlfn.TEXTSPLIT(B19," ")</f>
        <v>#NAME?</v>
      </c>
      <c r="D19" s="1"/>
      <c r="E19" s="1">
        <v>18</v>
      </c>
    </row>
    <row r="20" spans="2:5" x14ac:dyDescent="0.3">
      <c r="B20" s="1" t="s">
        <v>9</v>
      </c>
      <c r="C20" s="1" t="e" cm="1" vm="1">
        <f t="array" aca="1" ref="C20" ca="1">_xlfn.TEXTSPLIT(B20," ")</f>
        <v>#NAME?</v>
      </c>
      <c r="D20" s="1"/>
      <c r="E20" s="1">
        <v>17</v>
      </c>
    </row>
    <row r="21" spans="2:5" x14ac:dyDescent="0.3">
      <c r="B21" s="1" t="s">
        <v>16</v>
      </c>
      <c r="C21" s="1" t="e" cm="1" vm="1">
        <f t="array" aca="1" ref="C21" ca="1">_xlfn.TEXTSPLIT(B21," ")</f>
        <v>#NAME?</v>
      </c>
      <c r="D21" s="1"/>
      <c r="E21" s="1"/>
    </row>
    <row r="22" spans="2:5" x14ac:dyDescent="0.3">
      <c r="B22" s="1" t="s">
        <v>17</v>
      </c>
      <c r="C22" s="1" t="e" cm="1" vm="1">
        <f t="array" aca="1" ref="C22" ca="1">_xlfn.TEXTSPLIT(B22," ")</f>
        <v>#NAME?</v>
      </c>
      <c r="D22" s="1"/>
      <c r="E22" s="1">
        <v>22</v>
      </c>
    </row>
    <row r="23" spans="2:5" x14ac:dyDescent="0.3">
      <c r="B23" s="1" t="s">
        <v>18</v>
      </c>
      <c r="C23" s="1" t="e" cm="1" vm="1">
        <f t="array" aca="1" ref="C23" ca="1">_xlfn.TEXTSPLIT(B23," ")</f>
        <v>#NAME?</v>
      </c>
      <c r="D23" s="1"/>
      <c r="E23" s="1"/>
    </row>
    <row r="24" spans="2:5" x14ac:dyDescent="0.3">
      <c r="B24" s="1" t="s">
        <v>19</v>
      </c>
      <c r="C24" s="1" t="e" cm="1" vm="1">
        <f t="array" aca="1" ref="C24" ca="1">_xlfn.TEXTSPLIT(B24," ")</f>
        <v>#NAME?</v>
      </c>
      <c r="D24" s="1"/>
      <c r="E24" s="1">
        <v>28</v>
      </c>
    </row>
    <row r="26" spans="2:5" x14ac:dyDescent="0.3">
      <c r="B26" s="7" t="s">
        <v>24</v>
      </c>
      <c r="C26" s="8"/>
      <c r="D26" s="8"/>
      <c r="E26" s="9"/>
    </row>
    <row r="27" spans="2:5" x14ac:dyDescent="0.3">
      <c r="B27" s="1" t="s">
        <v>0</v>
      </c>
      <c r="C27" s="1" t="s">
        <v>0</v>
      </c>
      <c r="D27" s="1"/>
      <c r="E27" s="1">
        <v>25</v>
      </c>
    </row>
    <row r="28" spans="2:5" x14ac:dyDescent="0.3">
      <c r="B28" s="1" t="s">
        <v>14</v>
      </c>
      <c r="C28" s="1" t="e" cm="1" vm="1">
        <f t="array" aca="1" ref="C28" ca="1">_xlfn.TEXTSPLIT(B28," ")</f>
        <v>#NAME?</v>
      </c>
      <c r="D28" s="1"/>
      <c r="E28" s="1"/>
    </row>
    <row r="29" spans="2:5" x14ac:dyDescent="0.3">
      <c r="B29" s="1" t="s">
        <v>15</v>
      </c>
      <c r="C29" s="1" t="s">
        <v>8</v>
      </c>
      <c r="D29" s="1" t="s">
        <v>22</v>
      </c>
      <c r="E29" s="1">
        <v>18</v>
      </c>
    </row>
    <row r="30" spans="2:5" x14ac:dyDescent="0.3">
      <c r="B30" s="1" t="s">
        <v>9</v>
      </c>
      <c r="C30" s="1" t="e" cm="1" vm="1">
        <f t="array" aca="1" ref="C30" ca="1">_xlfn.TEXTSPLIT(B30," ")</f>
        <v>#NAME?</v>
      </c>
      <c r="D30" s="1"/>
      <c r="E30" s="1">
        <v>17</v>
      </c>
    </row>
    <row r="31" spans="2:5" x14ac:dyDescent="0.3">
      <c r="B31" s="1" t="s">
        <v>16</v>
      </c>
      <c r="C31" s="1" t="e" cm="1" vm="1">
        <f t="array" aca="1" ref="C31" ca="1">_xlfn.TEXTSPLIT(B31," ")</f>
        <v>#NAME?</v>
      </c>
      <c r="D31" s="1"/>
      <c r="E31" s="1"/>
    </row>
    <row r="32" spans="2:5" x14ac:dyDescent="0.3">
      <c r="B32" s="1" t="s">
        <v>17</v>
      </c>
      <c r="C32" s="1" t="e" cm="1" vm="1">
        <f t="array" aca="1" ref="C32" ca="1">_xlfn.TEXTSPLIT(B32," ")</f>
        <v>#NAME?</v>
      </c>
      <c r="D32" s="1"/>
      <c r="E32" s="1">
        <v>22</v>
      </c>
    </row>
    <row r="33" spans="2:5" x14ac:dyDescent="0.3">
      <c r="B33" s="1" t="s">
        <v>18</v>
      </c>
      <c r="C33" s="1" t="e" cm="1" vm="1">
        <f t="array" aca="1" ref="C33" ca="1">_xlfn.TEXTSPLIT(B33," ")</f>
        <v>#NAME?</v>
      </c>
      <c r="D33" s="1"/>
      <c r="E33" s="1"/>
    </row>
    <row r="34" spans="2:5" x14ac:dyDescent="0.3">
      <c r="B34" s="1" t="s">
        <v>19</v>
      </c>
      <c r="C34" s="1" t="e" cm="1" vm="1">
        <f t="array" aca="1" ref="C34" ca="1">_xlfn.TEXTSPLIT(B34," ")</f>
        <v>#NAME?</v>
      </c>
      <c r="D34" s="1"/>
      <c r="E34" s="1">
        <v>28</v>
      </c>
    </row>
    <row r="36" spans="2:5" x14ac:dyDescent="0.3">
      <c r="B36" s="7" t="s">
        <v>26</v>
      </c>
      <c r="C36" s="8"/>
      <c r="D36" s="8"/>
      <c r="E36" s="9"/>
    </row>
    <row r="37" spans="2:5" x14ac:dyDescent="0.3">
      <c r="B37" s="2" t="s">
        <v>5</v>
      </c>
      <c r="C37" s="2" t="s">
        <v>20</v>
      </c>
      <c r="D37" s="2" t="s">
        <v>21</v>
      </c>
      <c r="E37" s="2" t="s">
        <v>6</v>
      </c>
    </row>
    <row r="38" spans="2:5" x14ac:dyDescent="0.3">
      <c r="B38" s="1" t="s">
        <v>0</v>
      </c>
      <c r="C38" s="1" t="e" cm="1" vm="1">
        <f t="array" aca="1" ref="C38" ca="1">_xlfn.TEXTSPLIT(B38," ")</f>
        <v>#NAME?</v>
      </c>
      <c r="D38" s="1"/>
      <c r="E38" s="1">
        <v>25</v>
      </c>
    </row>
    <row r="39" spans="2:5" x14ac:dyDescent="0.3">
      <c r="B39" s="1" t="s">
        <v>0</v>
      </c>
      <c r="C39" s="1" t="e" cm="1" vm="1">
        <f t="array" aca="1" ref="C39" ca="1">_xlfn.TEXTSPLIT(B39," ")</f>
        <v>#NAME?</v>
      </c>
      <c r="D39" s="1"/>
      <c r="E39" s="1">
        <v>25</v>
      </c>
    </row>
    <row r="40" spans="2:5" hidden="1" x14ac:dyDescent="0.3">
      <c r="B40" s="1" t="s">
        <v>14</v>
      </c>
      <c r="C40" s="1" t="e" cm="1" vm="1">
        <f t="array" aca="1" ref="C40" ca="1">_xlfn.TEXTSPLIT(B40," ")</f>
        <v>#NAME?</v>
      </c>
      <c r="D40" s="1"/>
      <c r="E40" s="1"/>
    </row>
    <row r="41" spans="2:5" x14ac:dyDescent="0.3">
      <c r="B41" s="1" t="s">
        <v>15</v>
      </c>
      <c r="C41" s="1" t="e" cm="1" vm="1">
        <f t="array" aca="1" ref="C41" ca="1">_xlfn.TEXTSPLIT(B41," ")</f>
        <v>#NAME?</v>
      </c>
      <c r="D41" s="1"/>
      <c r="E41" s="1">
        <v>18</v>
      </c>
    </row>
    <row r="42" spans="2:5" hidden="1" x14ac:dyDescent="0.3">
      <c r="B42" s="1" t="s">
        <v>25</v>
      </c>
      <c r="C42" s="1" t="e" cm="1" vm="1">
        <f t="array" aca="1" ref="C42" ca="1">_xlfn.TEXTSPLIT(B42," ")</f>
        <v>#NAME?</v>
      </c>
      <c r="D42" s="1"/>
      <c r="E42" s="1">
        <v>18</v>
      </c>
    </row>
    <row r="43" spans="2:5" x14ac:dyDescent="0.3">
      <c r="B43" s="1" t="s">
        <v>9</v>
      </c>
      <c r="C43" s="1" t="e" cm="1" vm="1">
        <f t="array" aca="1" ref="C43" ca="1">_xlfn.TEXTSPLIT(B43," ")</f>
        <v>#NAME?</v>
      </c>
      <c r="D43" s="1"/>
      <c r="E43" s="1">
        <v>17</v>
      </c>
    </row>
    <row r="44" spans="2:5" hidden="1" x14ac:dyDescent="0.3">
      <c r="B44" s="1" t="s">
        <v>16</v>
      </c>
      <c r="C44" s="1" t="e" cm="1" vm="1">
        <f t="array" aca="1" ref="C44" ca="1">_xlfn.TEXTSPLIT(B44," ")</f>
        <v>#NAME?</v>
      </c>
      <c r="D44" s="1"/>
      <c r="E44" s="1"/>
    </row>
    <row r="45" spans="2:5" hidden="1" x14ac:dyDescent="0.3">
      <c r="B45" s="1" t="s">
        <v>17</v>
      </c>
      <c r="C45" s="1" t="e" cm="1" vm="1">
        <f t="array" aca="1" ref="C45" ca="1">_xlfn.TEXTSPLIT(B45," ")</f>
        <v>#NAME?</v>
      </c>
      <c r="D45" s="1"/>
      <c r="E45" s="1">
        <v>22</v>
      </c>
    </row>
    <row r="46" spans="2:5" hidden="1" x14ac:dyDescent="0.3">
      <c r="B46" s="1" t="s">
        <v>18</v>
      </c>
      <c r="C46" s="1" t="e" cm="1" vm="1">
        <f t="array" aca="1" ref="C46" ca="1">_xlfn.TEXTSPLIT(B46," ")</f>
        <v>#NAME?</v>
      </c>
      <c r="D46" s="1"/>
      <c r="E46" s="1"/>
    </row>
    <row r="47" spans="2:5" hidden="1" x14ac:dyDescent="0.3">
      <c r="B47" s="1" t="s">
        <v>19</v>
      </c>
      <c r="C47" s="1" t="e" cm="1" vm="1">
        <f t="array" aca="1" ref="C47" ca="1">_xlfn.TEXTSPLIT(B47," ")</f>
        <v>#NAME?</v>
      </c>
      <c r="D47" s="1"/>
      <c r="E47" s="1">
        <v>28</v>
      </c>
    </row>
    <row r="49" spans="2:8" x14ac:dyDescent="0.3">
      <c r="B49" s="2" t="s">
        <v>5</v>
      </c>
      <c r="C49" s="2" t="s">
        <v>20</v>
      </c>
      <c r="D49" s="2" t="s">
        <v>21</v>
      </c>
      <c r="E49" s="2" t="s">
        <v>6</v>
      </c>
      <c r="F49" s="2" t="s">
        <v>28</v>
      </c>
      <c r="G49" s="2" t="s">
        <v>29</v>
      </c>
      <c r="H49" s="2" t="s">
        <v>30</v>
      </c>
    </row>
    <row r="50" spans="2:8" x14ac:dyDescent="0.3">
      <c r="B50" s="1" t="s">
        <v>0</v>
      </c>
      <c r="C50" s="1" t="e" cm="1" vm="1">
        <f t="array" aca="1" ref="C50" ca="1">_xlfn.TEXTSPLIT(B50," ")</f>
        <v>#NAME?</v>
      </c>
      <c r="D50" s="1"/>
      <c r="E50" s="1">
        <v>25</v>
      </c>
      <c r="F50" t="b">
        <f>ISBLANK(D50)</f>
        <v>1</v>
      </c>
      <c r="G50" t="str">
        <f>IF(F50,"-",D50)</f>
        <v>-</v>
      </c>
      <c r="H50">
        <f>IF(ISBLANK(E50),22,E50)</f>
        <v>25</v>
      </c>
    </row>
    <row r="51" spans="2:8" x14ac:dyDescent="0.3">
      <c r="B51" s="1" t="s">
        <v>0</v>
      </c>
      <c r="C51" s="1" t="e" cm="1" vm="1">
        <f t="array" aca="1" ref="C51" ca="1">_xlfn.TEXTSPLIT(B51," ")</f>
        <v>#NAME?</v>
      </c>
      <c r="D51" s="1"/>
      <c r="E51" s="1">
        <v>25</v>
      </c>
      <c r="F51" t="b">
        <f t="shared" ref="F51:F59" si="0">ISBLANK(D51)</f>
        <v>1</v>
      </c>
      <c r="G51" t="str">
        <f t="shared" ref="G51:G59" si="1">IF(F51,"-",D51)</f>
        <v>-</v>
      </c>
      <c r="H51">
        <f t="shared" ref="H51:H59" si="2">IF(ISBLANK(E51),22,E51)</f>
        <v>25</v>
      </c>
    </row>
    <row r="52" spans="2:8" x14ac:dyDescent="0.3">
      <c r="B52" s="1" t="s">
        <v>14</v>
      </c>
      <c r="C52" s="1" t="e" cm="1" vm="1">
        <f t="array" aca="1" ref="C52" ca="1">_xlfn.TEXTSPLIT(B52," ")</f>
        <v>#NAME?</v>
      </c>
      <c r="D52" s="1"/>
      <c r="E52" s="1"/>
      <c r="F52" t="b">
        <f t="shared" si="0"/>
        <v>1</v>
      </c>
      <c r="G52" t="str">
        <f t="shared" si="1"/>
        <v>-</v>
      </c>
      <c r="H52">
        <f t="shared" si="2"/>
        <v>22</v>
      </c>
    </row>
    <row r="53" spans="2:8" x14ac:dyDescent="0.3">
      <c r="B53" s="1" t="s">
        <v>15</v>
      </c>
      <c r="C53" s="1" t="e" cm="1" vm="1">
        <f t="array" aca="1" ref="C53" ca="1">_xlfn.TEXTSPLIT(B53," ")</f>
        <v>#NAME?</v>
      </c>
      <c r="D53" s="1"/>
      <c r="E53" s="1">
        <v>18</v>
      </c>
      <c r="F53" t="b">
        <f t="shared" si="0"/>
        <v>1</v>
      </c>
      <c r="G53" t="str">
        <f t="shared" si="1"/>
        <v>-</v>
      </c>
      <c r="H53">
        <f t="shared" si="2"/>
        <v>18</v>
      </c>
    </row>
    <row r="54" spans="2:8" x14ac:dyDescent="0.3">
      <c r="B54" s="1" t="s">
        <v>25</v>
      </c>
      <c r="C54" s="1" t="e" cm="1" vm="1">
        <f t="array" aca="1" ref="C54" ca="1">_xlfn.TEXTSPLIT(B54," ")</f>
        <v>#NAME?</v>
      </c>
      <c r="D54" s="1"/>
      <c r="E54" s="1">
        <v>18</v>
      </c>
      <c r="F54" t="b">
        <f t="shared" si="0"/>
        <v>1</v>
      </c>
      <c r="G54" t="str">
        <f t="shared" si="1"/>
        <v>-</v>
      </c>
      <c r="H54">
        <f t="shared" si="2"/>
        <v>18</v>
      </c>
    </row>
    <row r="55" spans="2:8" x14ac:dyDescent="0.3">
      <c r="B55" s="1" t="s">
        <v>9</v>
      </c>
      <c r="C55" s="1" t="e" cm="1" vm="1">
        <f t="array" aca="1" ref="C55" ca="1">_xlfn.TEXTSPLIT(B55," ")</f>
        <v>#NAME?</v>
      </c>
      <c r="D55" s="1"/>
      <c r="E55" s="1">
        <v>17</v>
      </c>
      <c r="F55" t="b">
        <f t="shared" si="0"/>
        <v>1</v>
      </c>
      <c r="G55" t="str">
        <f t="shared" si="1"/>
        <v>-</v>
      </c>
      <c r="H55">
        <f t="shared" si="2"/>
        <v>17</v>
      </c>
    </row>
    <row r="56" spans="2:8" x14ac:dyDescent="0.3">
      <c r="B56" s="1" t="s">
        <v>16</v>
      </c>
      <c r="C56" s="1" t="e" cm="1" vm="1">
        <f t="array" aca="1" ref="C56" ca="1">_xlfn.TEXTSPLIT(B56," ")</f>
        <v>#NAME?</v>
      </c>
      <c r="D56" s="1"/>
      <c r="E56" s="1"/>
      <c r="F56" t="b">
        <f t="shared" si="0"/>
        <v>1</v>
      </c>
      <c r="G56" t="str">
        <f t="shared" si="1"/>
        <v>-</v>
      </c>
      <c r="H56">
        <f t="shared" si="2"/>
        <v>22</v>
      </c>
    </row>
    <row r="57" spans="2:8" x14ac:dyDescent="0.3">
      <c r="B57" s="1" t="s">
        <v>17</v>
      </c>
      <c r="C57" s="1" t="e" cm="1" vm="1">
        <f t="array" aca="1" ref="C57" ca="1">_xlfn.TEXTSPLIT(B57," ")</f>
        <v>#NAME?</v>
      </c>
      <c r="D57" s="1"/>
      <c r="E57" s="1">
        <v>22</v>
      </c>
      <c r="F57" t="b">
        <f t="shared" si="0"/>
        <v>1</v>
      </c>
      <c r="G57" t="str">
        <f t="shared" si="1"/>
        <v>-</v>
      </c>
      <c r="H57">
        <f t="shared" si="2"/>
        <v>22</v>
      </c>
    </row>
    <row r="58" spans="2:8" x14ac:dyDescent="0.3">
      <c r="B58" s="1" t="s">
        <v>18</v>
      </c>
      <c r="C58" s="1" t="e" cm="1" vm="1">
        <f t="array" aca="1" ref="C58" ca="1">_xlfn.TEXTSPLIT(B58," ")</f>
        <v>#NAME?</v>
      </c>
      <c r="D58" s="1"/>
      <c r="E58" s="1"/>
      <c r="F58" t="b">
        <f t="shared" si="0"/>
        <v>1</v>
      </c>
      <c r="G58" t="str">
        <f t="shared" si="1"/>
        <v>-</v>
      </c>
      <c r="H58">
        <f t="shared" si="2"/>
        <v>22</v>
      </c>
    </row>
    <row r="59" spans="2:8" x14ac:dyDescent="0.3">
      <c r="B59" s="1" t="s">
        <v>19</v>
      </c>
      <c r="C59" s="1" t="e" cm="1" vm="1">
        <f t="array" aca="1" ref="C59" ca="1">_xlfn.TEXTSPLIT(B59," ")</f>
        <v>#NAME?</v>
      </c>
      <c r="D59" s="1"/>
      <c r="E59" s="1">
        <v>28</v>
      </c>
      <c r="F59" t="b">
        <f t="shared" si="0"/>
        <v>1</v>
      </c>
      <c r="G59" t="str">
        <f t="shared" si="1"/>
        <v>-</v>
      </c>
      <c r="H59">
        <f t="shared" si="2"/>
        <v>28</v>
      </c>
    </row>
    <row r="60" spans="2:8" x14ac:dyDescent="0.3">
      <c r="F60" t="s">
        <v>27</v>
      </c>
      <c r="G60" t="s">
        <v>1</v>
      </c>
      <c r="H60" t="s">
        <v>31</v>
      </c>
    </row>
    <row r="63" spans="2:8" x14ac:dyDescent="0.3">
      <c r="B63" s="10" t="s">
        <v>41</v>
      </c>
      <c r="C63" s="10"/>
      <c r="D63" s="10"/>
      <c r="E63" s="10"/>
      <c r="F63" s="10"/>
      <c r="G63" s="10"/>
      <c r="H63" s="10"/>
    </row>
    <row r="64" spans="2:8" x14ac:dyDescent="0.3">
      <c r="B64" s="2" t="s">
        <v>5</v>
      </c>
      <c r="C64" s="4" t="s">
        <v>6</v>
      </c>
      <c r="D64" s="4" t="s">
        <v>32</v>
      </c>
      <c r="E64" s="3" t="s">
        <v>42</v>
      </c>
      <c r="F64" s="3" t="s">
        <v>36</v>
      </c>
      <c r="G64" s="3" t="s">
        <v>37</v>
      </c>
      <c r="H64" s="3" t="s">
        <v>39</v>
      </c>
    </row>
    <row r="65" spans="2:8" x14ac:dyDescent="0.3">
      <c r="B65" s="1" t="s">
        <v>0</v>
      </c>
      <c r="C65" s="1">
        <v>25</v>
      </c>
      <c r="D65" s="5">
        <v>15000</v>
      </c>
      <c r="E65" s="1">
        <v>1</v>
      </c>
      <c r="F65" s="1">
        <f t="shared" ref="F65:F72" si="3">IF(ISBLANK(E65),2.1666667,E65)</f>
        <v>1</v>
      </c>
      <c r="G65" s="1">
        <f t="shared" ref="G65:G72" si="4">IF(ISBLANK(E65),2,E65)</f>
        <v>1</v>
      </c>
      <c r="H65" s="1" t="str">
        <f t="shared" ref="H65:H72" si="5">SUBSTITUTE(D65,",","")</f>
        <v>15000</v>
      </c>
    </row>
    <row r="66" spans="2:8" x14ac:dyDescent="0.3">
      <c r="B66" s="1" t="s">
        <v>7</v>
      </c>
      <c r="C66" s="1">
        <v>21</v>
      </c>
      <c r="D66" s="5">
        <v>20000</v>
      </c>
      <c r="E66" s="1">
        <v>2</v>
      </c>
      <c r="F66" s="1">
        <f t="shared" si="3"/>
        <v>2</v>
      </c>
      <c r="G66" s="1">
        <f t="shared" si="4"/>
        <v>2</v>
      </c>
      <c r="H66" s="1" t="str">
        <f t="shared" si="5"/>
        <v>20000</v>
      </c>
    </row>
    <row r="67" spans="2:8" x14ac:dyDescent="0.3">
      <c r="B67" s="1" t="s">
        <v>8</v>
      </c>
      <c r="C67" s="1">
        <v>26</v>
      </c>
      <c r="D67" s="5">
        <v>19000</v>
      </c>
      <c r="E67" s="1">
        <v>2</v>
      </c>
      <c r="F67" s="1">
        <f t="shared" si="3"/>
        <v>2</v>
      </c>
      <c r="G67" s="1">
        <f t="shared" si="4"/>
        <v>2</v>
      </c>
      <c r="H67" s="1" t="str">
        <f t="shared" si="5"/>
        <v>19000</v>
      </c>
    </row>
    <row r="68" spans="2:8" x14ac:dyDescent="0.3">
      <c r="B68" s="1" t="s">
        <v>9</v>
      </c>
      <c r="C68" s="1">
        <v>27</v>
      </c>
      <c r="D68" s="5">
        <v>28000</v>
      </c>
      <c r="E68" s="1"/>
      <c r="F68" s="1">
        <f t="shared" si="3"/>
        <v>2.1666666999999999</v>
      </c>
      <c r="G68" s="1">
        <f t="shared" si="4"/>
        <v>2</v>
      </c>
      <c r="H68" s="1" t="str">
        <f t="shared" si="5"/>
        <v>28000</v>
      </c>
    </row>
    <row r="69" spans="2:8" x14ac:dyDescent="0.3">
      <c r="B69" s="1" t="s">
        <v>10</v>
      </c>
      <c r="C69" s="1">
        <v>22</v>
      </c>
      <c r="D69" s="5">
        <v>35000</v>
      </c>
      <c r="E69" s="1">
        <v>5</v>
      </c>
      <c r="F69" s="1">
        <f t="shared" si="3"/>
        <v>5</v>
      </c>
      <c r="G69" s="1">
        <f t="shared" si="4"/>
        <v>5</v>
      </c>
      <c r="H69" s="1" t="str">
        <f t="shared" si="5"/>
        <v>35000</v>
      </c>
    </row>
    <row r="70" spans="2:8" x14ac:dyDescent="0.3">
      <c r="B70" s="1" t="s">
        <v>11</v>
      </c>
      <c r="C70" s="1">
        <v>22</v>
      </c>
      <c r="D70" s="5">
        <v>24000</v>
      </c>
      <c r="E70" s="1">
        <v>2</v>
      </c>
      <c r="F70" s="1">
        <f t="shared" si="3"/>
        <v>2</v>
      </c>
      <c r="G70" s="1">
        <f t="shared" si="4"/>
        <v>2</v>
      </c>
      <c r="H70" s="1" t="str">
        <f t="shared" si="5"/>
        <v>24000</v>
      </c>
    </row>
    <row r="71" spans="2:8" x14ac:dyDescent="0.3">
      <c r="B71" s="1" t="s">
        <v>12</v>
      </c>
      <c r="C71" s="1">
        <v>25</v>
      </c>
      <c r="D71" s="5">
        <v>18000</v>
      </c>
      <c r="E71" s="1">
        <v>1</v>
      </c>
      <c r="F71" s="1">
        <f t="shared" si="3"/>
        <v>1</v>
      </c>
      <c r="G71" s="1">
        <f t="shared" si="4"/>
        <v>1</v>
      </c>
      <c r="H71" s="1" t="str">
        <f t="shared" si="5"/>
        <v>18000</v>
      </c>
    </row>
    <row r="72" spans="2:8" x14ac:dyDescent="0.3">
      <c r="B72" s="1" t="s">
        <v>13</v>
      </c>
      <c r="C72" s="1">
        <v>29</v>
      </c>
      <c r="D72" s="5">
        <v>39000</v>
      </c>
      <c r="E72" s="1"/>
      <c r="F72" s="1">
        <f t="shared" si="3"/>
        <v>2.1666666999999999</v>
      </c>
      <c r="G72" s="1">
        <f t="shared" si="4"/>
        <v>2</v>
      </c>
      <c r="H72" s="1" t="str">
        <f t="shared" si="5"/>
        <v>39000</v>
      </c>
    </row>
    <row r="74" spans="2:8" x14ac:dyDescent="0.3">
      <c r="C74" t="s">
        <v>34</v>
      </c>
      <c r="D74">
        <f>SUM(E65:E72)</f>
        <v>13</v>
      </c>
      <c r="F74" t="s">
        <v>38</v>
      </c>
      <c r="G74" t="s">
        <v>38</v>
      </c>
      <c r="H74" t="s">
        <v>40</v>
      </c>
    </row>
    <row r="75" spans="2:8" x14ac:dyDescent="0.3">
      <c r="C75" t="s">
        <v>33</v>
      </c>
      <c r="D75">
        <f>AVERAGE((E65:E72))</f>
        <v>2.1666666666666665</v>
      </c>
    </row>
    <row r="76" spans="2:8" x14ac:dyDescent="0.3">
      <c r="C76" t="s">
        <v>35</v>
      </c>
      <c r="D76">
        <f>ROUND(AVERAGE(E65:E72),0)</f>
        <v>2</v>
      </c>
    </row>
  </sheetData>
  <autoFilter ref="B37:E47" xr:uid="{00000000-0009-0000-0000-000001000000}">
    <filterColumn colId="0">
      <filters>
        <filter val="Ashish"/>
        <filter val="Mahesh"/>
        <filter val="Mani Jha"/>
      </filters>
    </filterColumn>
  </autoFilter>
  <mergeCells count="4">
    <mergeCell ref="B15:E15"/>
    <mergeCell ref="B26:E26"/>
    <mergeCell ref="B36:E36"/>
    <mergeCell ref="B63:H63"/>
  </mergeCells>
  <dataValidations count="1">
    <dataValidation type="whole" showInputMessage="1" showErrorMessage="1" sqref="D65:D72" xr:uid="{00000000-0002-0000-0100-000000000000}">
      <formula1>0</formula1>
      <formula2>100000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H11"/>
  <sheetViews>
    <sheetView tabSelected="1" zoomScale="115" zoomScaleNormal="115" workbookViewId="0">
      <selection activeCell="G4" sqref="G4:G11"/>
    </sheetView>
  </sheetViews>
  <sheetFormatPr defaultRowHeight="15.6" x14ac:dyDescent="0.3"/>
  <cols>
    <col min="6" max="6" width="16" customWidth="1"/>
  </cols>
  <sheetData>
    <row r="3" spans="3:8" x14ac:dyDescent="0.3">
      <c r="C3" s="4" t="s">
        <v>5</v>
      </c>
      <c r="D3" s="4" t="s">
        <v>6</v>
      </c>
      <c r="E3" s="4" t="s">
        <v>43</v>
      </c>
      <c r="F3" s="4" t="s">
        <v>51</v>
      </c>
      <c r="G3" s="4" t="s">
        <v>43</v>
      </c>
      <c r="H3" s="4"/>
    </row>
    <row r="4" spans="3:8" x14ac:dyDescent="0.3">
      <c r="C4" s="1" t="s">
        <v>48</v>
      </c>
      <c r="D4" s="1">
        <v>25</v>
      </c>
      <c r="E4" t="b">
        <f>ISNUMBER(D4)</f>
        <v>1</v>
      </c>
      <c r="F4" t="str">
        <f>IF(D4&gt;=18,"Eligible","Not Eligible")</f>
        <v>Eligible</v>
      </c>
      <c r="G4" t="b">
        <f>ISNUMBER(D4)</f>
        <v>1</v>
      </c>
    </row>
    <row r="5" spans="3:8" x14ac:dyDescent="0.3">
      <c r="C5" s="1" t="s">
        <v>7</v>
      </c>
      <c r="D5" s="1">
        <v>14</v>
      </c>
      <c r="E5" t="b">
        <f t="shared" ref="E5:E11" si="0">ISNUMBER(D5)</f>
        <v>1</v>
      </c>
      <c r="F5" t="str">
        <f t="shared" ref="F5:F11" si="1">IF(D5&gt;=18,"Eligible","Not Eligible")</f>
        <v>Not Eligible</v>
      </c>
      <c r="G5" t="b">
        <f t="shared" ref="G5:G11" si="2">ISNUMBER(D5)</f>
        <v>1</v>
      </c>
    </row>
    <row r="6" spans="3:8" x14ac:dyDescent="0.3">
      <c r="C6" s="1" t="s">
        <v>8</v>
      </c>
      <c r="D6" s="1">
        <v>18</v>
      </c>
      <c r="E6" t="b">
        <f t="shared" si="0"/>
        <v>1</v>
      </c>
      <c r="F6" t="str">
        <f t="shared" si="1"/>
        <v>Eligible</v>
      </c>
      <c r="G6" t="b">
        <f t="shared" si="2"/>
        <v>1</v>
      </c>
    </row>
    <row r="7" spans="3:8" x14ac:dyDescent="0.3">
      <c r="C7" s="1" t="s">
        <v>9</v>
      </c>
      <c r="D7" s="1">
        <v>17</v>
      </c>
      <c r="E7" t="b">
        <f t="shared" si="0"/>
        <v>1</v>
      </c>
      <c r="F7" t="str">
        <f t="shared" si="1"/>
        <v>Not Eligible</v>
      </c>
      <c r="G7" t="b">
        <f t="shared" si="2"/>
        <v>1</v>
      </c>
    </row>
    <row r="8" spans="3:8" x14ac:dyDescent="0.3">
      <c r="C8" s="1" t="s">
        <v>10</v>
      </c>
      <c r="D8" s="1">
        <v>16</v>
      </c>
      <c r="E8" t="b">
        <f t="shared" si="0"/>
        <v>1</v>
      </c>
      <c r="F8" t="str">
        <f t="shared" si="1"/>
        <v>Not Eligible</v>
      </c>
      <c r="G8" t="b">
        <f t="shared" si="2"/>
        <v>1</v>
      </c>
    </row>
    <row r="9" spans="3:8" x14ac:dyDescent="0.3">
      <c r="C9" s="1" t="s">
        <v>11</v>
      </c>
      <c r="D9" s="1">
        <v>22</v>
      </c>
      <c r="E9" t="b">
        <f t="shared" si="0"/>
        <v>1</v>
      </c>
      <c r="F9" t="str">
        <f t="shared" si="1"/>
        <v>Eligible</v>
      </c>
      <c r="G9" t="b">
        <f t="shared" si="2"/>
        <v>1</v>
      </c>
    </row>
    <row r="10" spans="3:8" x14ac:dyDescent="0.3">
      <c r="C10" s="1" t="s">
        <v>12</v>
      </c>
      <c r="D10" s="1">
        <v>130</v>
      </c>
      <c r="E10" t="b">
        <f t="shared" si="0"/>
        <v>1</v>
      </c>
      <c r="F10" t="str">
        <f t="shared" si="1"/>
        <v>Eligible</v>
      </c>
      <c r="G10" t="b">
        <f t="shared" si="2"/>
        <v>1</v>
      </c>
    </row>
    <row r="11" spans="3:8" x14ac:dyDescent="0.3">
      <c r="C11" s="1" t="s">
        <v>13</v>
      </c>
      <c r="D11" s="1" t="s">
        <v>44</v>
      </c>
      <c r="E11" t="b">
        <f t="shared" si="0"/>
        <v>0</v>
      </c>
      <c r="F11" t="str">
        <f t="shared" si="1"/>
        <v>Eligible</v>
      </c>
      <c r="G11" t="b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Conditional</vt:lpstr>
      <vt:lpstr>2. Handling Null and Duplicate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shobita Bedi</cp:lastModifiedBy>
  <dcterms:created xsi:type="dcterms:W3CDTF">2023-12-06T04:08:35Z</dcterms:created>
  <dcterms:modified xsi:type="dcterms:W3CDTF">2026-07-04T18:21:37Z</dcterms:modified>
</cp:coreProperties>
</file>