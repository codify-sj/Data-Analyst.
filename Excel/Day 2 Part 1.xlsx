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amsh\Downloads\Upload Github\Excel\"/>
    </mc:Choice>
  </mc:AlternateContent>
  <xr:revisionPtr revIDLastSave="0" documentId="13_ncr:1_{ACFE3E90-38BD-4E5E-A73C-040AF687A9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Text Cleaning" sheetId="3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5" l="1"/>
  <c r="G6" i="5"/>
  <c r="G13" i="5"/>
  <c r="G5" i="5"/>
  <c r="H31" i="5"/>
  <c r="H32" i="5"/>
  <c r="H30" i="5"/>
  <c r="G30" i="5"/>
  <c r="G31" i="5"/>
  <c r="G29" i="5"/>
  <c r="E31" i="5"/>
  <c r="E30" i="5" l="1"/>
  <c r="E29" i="5"/>
  <c r="G17" i="3"/>
  <c r="G16" i="3"/>
  <c r="G17" i="5"/>
  <c r="G16" i="5"/>
  <c r="G14" i="5"/>
  <c r="G18" i="5"/>
  <c r="G12" i="5"/>
  <c r="G11" i="5"/>
  <c r="G10" i="5"/>
  <c r="G9" i="5"/>
  <c r="G8" i="5"/>
  <c r="G7" i="5"/>
  <c r="E13" i="3" l="1"/>
  <c r="E15" i="3"/>
  <c r="E14" i="3"/>
  <c r="E8" i="3"/>
  <c r="G4" i="3"/>
  <c r="F4" i="3"/>
  <c r="E12" i="3"/>
  <c r="E11" i="3"/>
  <c r="E10" i="3"/>
  <c r="E9" i="3"/>
  <c r="E7" i="3"/>
  <c r="E6" i="3"/>
  <c r="E5" i="3"/>
</calcChain>
</file>

<file path=xl/sharedStrings.xml><?xml version="1.0" encoding="utf-8"?>
<sst xmlns="http://schemas.openxmlformats.org/spreadsheetml/2006/main" count="88" uniqueCount="42">
  <si>
    <t>Example</t>
  </si>
  <si>
    <t>CONCATENATE</t>
  </si>
  <si>
    <t>LEFT</t>
  </si>
  <si>
    <t>RIGHT</t>
  </si>
  <si>
    <t>LEN</t>
  </si>
  <si>
    <t>MID</t>
  </si>
  <si>
    <t>Function</t>
  </si>
  <si>
    <t>LOWER</t>
  </si>
  <si>
    <t>UPPER</t>
  </si>
  <si>
    <t>PROPER</t>
  </si>
  <si>
    <t>TRIM</t>
  </si>
  <si>
    <t>FIND</t>
  </si>
  <si>
    <t>SEARCH</t>
  </si>
  <si>
    <t>REPLACE</t>
  </si>
  <si>
    <t>Text</t>
  </si>
  <si>
    <t>Harshvardhan</t>
  </si>
  <si>
    <t>Singh</t>
  </si>
  <si>
    <t xml:space="preserve">  Harshvardhan      Singh</t>
  </si>
  <si>
    <t>Harshvardhan Singh</t>
  </si>
  <si>
    <t>CONCATENATION</t>
  </si>
  <si>
    <t xml:space="preserve">Harshvardhan </t>
  </si>
  <si>
    <t xml:space="preserve">Harshvardhan Singh   </t>
  </si>
  <si>
    <t># Position of Letter
# Case Sensitive</t>
  </si>
  <si>
    <t># Non Case Sensitive</t>
  </si>
  <si>
    <t>SUBSTITUTE</t>
  </si>
  <si>
    <t>EXACT</t>
  </si>
  <si>
    <t xml:space="preserve">   harshvardhan</t>
  </si>
  <si>
    <t xml:space="preserve">  singh</t>
  </si>
  <si>
    <t>First Name</t>
  </si>
  <si>
    <t>Last Name</t>
  </si>
  <si>
    <t>Full Name</t>
  </si>
  <si>
    <t xml:space="preserve"> Mohit</t>
  </si>
  <si>
    <t xml:space="preserve">          kumar</t>
  </si>
  <si>
    <t>Age</t>
  </si>
  <si>
    <t>Eligible</t>
  </si>
  <si>
    <t xml:space="preserve">  raina</t>
  </si>
  <si>
    <t xml:space="preserve">   samay</t>
  </si>
  <si>
    <t>Splitting the text</t>
  </si>
  <si>
    <t xml:space="preserve">Text to Column </t>
  </si>
  <si>
    <t>Text Split</t>
  </si>
  <si>
    <t xml:space="preserve">    Harshvardhan   Singh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</si>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</sst>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3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/>
      <name val="Arial"/>
      <family val="2"/>
    </font>
    <font>
      <b/>
      <sz val="12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6" borderId="0" xfId="0" applyFill="1" applyAlignment="1">
      <alignment wrapText="1"/>
    </xf>
    <xf numFmtId="0" fontId="0" fillId="6" borderId="0" xfId="0" applyFill="1"/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" xfId="0" applyFont="1" applyFill="1" applyBorder="1"/>
    <xf numFmtId="0" fontId="4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0" xfId="0" applyBorder="1"/>
    <xf numFmtId="0" fontId="5" fillId="6" borderId="10" xfId="0" applyFont="1" applyFill="1" applyBorder="1" applyAlignment="1">
      <alignment horizontal="center"/>
    </xf>
    <xf numFmtId="0" fontId="0" fillId="7" borderId="2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5" borderId="1" xfId="0" applyFont="1" applyFill="1" applyBorder="1"/>
    <xf numFmtId="0" fontId="4" fillId="5" borderId="0" xfId="0" applyFont="1" applyFill="1"/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18"/>
  <sheetViews>
    <sheetView zoomScaleNormal="100" workbookViewId="0">
      <selection activeCell="D3" sqref="D3:G3"/>
    </sheetView>
  </sheetViews>
  <sheetFormatPr defaultColWidth="11" defaultRowHeight="15.6" x14ac:dyDescent="0.3"/>
  <cols>
    <col min="3" max="3" width="20.3984375" customWidth="1"/>
    <col min="4" max="4" width="19.59765625" customWidth="1"/>
    <col min="5" max="5" width="16.3984375" customWidth="1"/>
    <col min="6" max="6" width="15.8984375" customWidth="1"/>
    <col min="7" max="7" width="18.8984375" bestFit="1" customWidth="1"/>
    <col min="8" max="8" width="16.59765625" customWidth="1"/>
    <col min="9" max="9" width="15.3984375" customWidth="1"/>
  </cols>
  <sheetData>
    <row r="2" spans="3:7" x14ac:dyDescent="0.3">
      <c r="C2" s="26" t="s">
        <v>14</v>
      </c>
      <c r="D2" s="26"/>
      <c r="E2" s="26"/>
      <c r="F2" s="26"/>
      <c r="G2" s="26"/>
    </row>
    <row r="3" spans="3:7" x14ac:dyDescent="0.3">
      <c r="C3" s="27" t="s">
        <v>6</v>
      </c>
      <c r="D3" s="28" t="s">
        <v>0</v>
      </c>
      <c r="E3" s="28"/>
      <c r="F3" s="28"/>
      <c r="G3" s="28"/>
    </row>
    <row r="4" spans="3:7" x14ac:dyDescent="0.3">
      <c r="C4" s="1" t="s">
        <v>1</v>
      </c>
      <c r="D4" s="1" t="s">
        <v>15</v>
      </c>
      <c r="E4" s="1" t="s">
        <v>16</v>
      </c>
      <c r="F4" s="1" t="str">
        <f>CONCATENATE(D4,E4)</f>
        <v>HarshvardhanSingh</v>
      </c>
      <c r="G4" s="1" t="str">
        <f>CONCATENATE(D4, " ",E4)</f>
        <v>Harshvardhan Singh</v>
      </c>
    </row>
    <row r="5" spans="3:7" x14ac:dyDescent="0.3">
      <c r="C5" s="1" t="s">
        <v>2</v>
      </c>
      <c r="D5" s="1" t="s">
        <v>15</v>
      </c>
      <c r="E5" s="1" t="str">
        <f>LEFT(D5,3)</f>
        <v>Har</v>
      </c>
      <c r="F5" s="1"/>
      <c r="G5" s="1"/>
    </row>
    <row r="6" spans="3:7" x14ac:dyDescent="0.3">
      <c r="C6" s="1" t="s">
        <v>3</v>
      </c>
      <c r="D6" s="1" t="s">
        <v>15</v>
      </c>
      <c r="E6" s="1" t="str">
        <f>RIGHT(D6,3)</f>
        <v>han</v>
      </c>
      <c r="F6" s="1"/>
      <c r="G6" s="1"/>
    </row>
    <row r="7" spans="3:7" x14ac:dyDescent="0.3">
      <c r="C7" s="1" t="s">
        <v>4</v>
      </c>
      <c r="D7" s="1" t="s">
        <v>15</v>
      </c>
      <c r="E7" s="1">
        <f>LEN(D7)</f>
        <v>12</v>
      </c>
      <c r="F7" s="1"/>
      <c r="G7" s="1"/>
    </row>
    <row r="8" spans="3:7" x14ac:dyDescent="0.3">
      <c r="C8" s="1" t="s">
        <v>5</v>
      </c>
      <c r="D8" s="1" t="s">
        <v>15</v>
      </c>
      <c r="E8" s="1" t="str">
        <f>MID(D8,4,8)</f>
        <v>shvardha</v>
      </c>
      <c r="F8" s="1"/>
      <c r="G8" s="1"/>
    </row>
    <row r="9" spans="3:7" x14ac:dyDescent="0.3">
      <c r="C9" s="1" t="s">
        <v>7</v>
      </c>
      <c r="D9" s="1" t="s">
        <v>15</v>
      </c>
      <c r="E9" s="1" t="str">
        <f>LOWER(D9)</f>
        <v>harshvardhan</v>
      </c>
      <c r="F9" s="1"/>
      <c r="G9" s="1"/>
    </row>
    <row r="10" spans="3:7" x14ac:dyDescent="0.3">
      <c r="C10" s="1" t="s">
        <v>8</v>
      </c>
      <c r="D10" s="1" t="s">
        <v>15</v>
      </c>
      <c r="E10" s="1" t="str">
        <f>UPPER(D10)</f>
        <v>HARSHVARDHAN</v>
      </c>
      <c r="F10" s="1"/>
      <c r="G10" s="1"/>
    </row>
    <row r="11" spans="3:7" x14ac:dyDescent="0.3">
      <c r="C11" s="1" t="s">
        <v>9</v>
      </c>
      <c r="D11" s="1" t="s">
        <v>15</v>
      </c>
      <c r="E11" s="1" t="str">
        <f>PROPER(D11)</f>
        <v>Harshvardhan</v>
      </c>
      <c r="F11" s="1"/>
      <c r="G11" s="1"/>
    </row>
    <row r="12" spans="3:7" x14ac:dyDescent="0.3">
      <c r="C12" s="1" t="s">
        <v>10</v>
      </c>
      <c r="D12" s="1" t="s">
        <v>17</v>
      </c>
      <c r="E12" s="1" t="str">
        <f>TRIM(D12)</f>
        <v>Harshvardhan Singh</v>
      </c>
      <c r="F12" s="1"/>
      <c r="G12" s="1"/>
    </row>
    <row r="13" spans="3:7" x14ac:dyDescent="0.3">
      <c r="C13" s="1" t="s">
        <v>11</v>
      </c>
      <c r="D13" s="1" t="s">
        <v>18</v>
      </c>
      <c r="E13" s="1">
        <f>FIND("sh",D13)</f>
        <v>4</v>
      </c>
      <c r="F13" s="1"/>
      <c r="G13" s="1"/>
    </row>
    <row r="14" spans="3:7" x14ac:dyDescent="0.3">
      <c r="C14" s="1" t="s">
        <v>12</v>
      </c>
      <c r="D14" s="1" t="s">
        <v>18</v>
      </c>
      <c r="E14" s="1">
        <f>SEARCH("sh",D14)</f>
        <v>4</v>
      </c>
      <c r="F14" s="1"/>
      <c r="G14" s="1"/>
    </row>
    <row r="15" spans="3:7" x14ac:dyDescent="0.3">
      <c r="C15" s="1" t="s">
        <v>13</v>
      </c>
      <c r="D15" s="1" t="s">
        <v>18</v>
      </c>
      <c r="E15" s="1" t="str">
        <f>REPLACE(D15,3,2,"-")</f>
        <v>Ha-hvardhan Singh</v>
      </c>
      <c r="F15" s="1"/>
      <c r="G15" s="1"/>
    </row>
    <row r="16" spans="3:7" x14ac:dyDescent="0.3">
      <c r="C16" s="1" t="s">
        <v>24</v>
      </c>
      <c r="D16" s="1" t="s">
        <v>18</v>
      </c>
      <c r="E16" s="1"/>
      <c r="F16" s="1"/>
      <c r="G16" s="1" t="str">
        <f>SUBSTITUTE(D16,"Singh", "Sharma")</f>
        <v>Harshvardhan Sharma</v>
      </c>
    </row>
    <row r="17" spans="3:7" x14ac:dyDescent="0.3">
      <c r="C17" s="1" t="s">
        <v>25</v>
      </c>
      <c r="D17" s="1" t="s">
        <v>18</v>
      </c>
      <c r="E17" s="1"/>
      <c r="F17" s="1"/>
      <c r="G17" s="1" t="b">
        <f>EXACT(D17,G12)</f>
        <v>0</v>
      </c>
    </row>
    <row r="18" spans="3:7" x14ac:dyDescent="0.3">
      <c r="C18" s="1" t="s">
        <v>39</v>
      </c>
      <c r="D18" s="1" t="s">
        <v>18</v>
      </c>
      <c r="E18" s="1"/>
      <c r="F18" s="1"/>
      <c r="G18" s="1"/>
    </row>
  </sheetData>
  <mergeCells count="2">
    <mergeCell ref="D3:G3"/>
    <mergeCell ref="C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32"/>
  <sheetViews>
    <sheetView tabSelected="1" topLeftCell="A7" zoomScale="85" zoomScaleNormal="85" workbookViewId="0">
      <selection activeCell="E31" sqref="E31"/>
    </sheetView>
  </sheetViews>
  <sheetFormatPr defaultRowHeight="15.6" x14ac:dyDescent="0.3"/>
  <cols>
    <col min="3" max="3" width="17.796875" bestFit="1" customWidth="1"/>
    <col min="4" max="4" width="20.796875" bestFit="1" customWidth="1"/>
    <col min="5" max="5" width="17.796875" bestFit="1" customWidth="1"/>
    <col min="6" max="6" width="14.3984375" bestFit="1" customWidth="1"/>
    <col min="7" max="7" width="21.19921875" bestFit="1" customWidth="1"/>
    <col min="8" max="8" width="18.3984375" bestFit="1" customWidth="1"/>
    <col min="9" max="9" width="32" customWidth="1"/>
    <col min="10" max="10" width="21.8984375" customWidth="1"/>
    <col min="11" max="11" width="5.5" bestFit="1" customWidth="1"/>
  </cols>
  <sheetData>
    <row r="3" spans="3:8" x14ac:dyDescent="0.3">
      <c r="C3" s="8" t="s">
        <v>14</v>
      </c>
      <c r="D3" s="8"/>
      <c r="E3" s="8"/>
      <c r="F3" s="8"/>
      <c r="G3" s="8"/>
    </row>
    <row r="4" spans="3:8" x14ac:dyDescent="0.3">
      <c r="C4" s="9" t="s">
        <v>6</v>
      </c>
      <c r="D4" s="23" t="s">
        <v>0</v>
      </c>
      <c r="E4" s="3"/>
      <c r="F4" s="3"/>
      <c r="G4" s="4"/>
    </row>
    <row r="5" spans="3:8" x14ac:dyDescent="0.3">
      <c r="C5" s="1" t="s">
        <v>19</v>
      </c>
      <c r="D5" s="1" t="s">
        <v>20</v>
      </c>
      <c r="E5" s="1" t="s">
        <v>16</v>
      </c>
      <c r="F5" s="1"/>
      <c r="G5" s="1" t="str">
        <f>CONCATENATE(D5," ",E5)</f>
        <v>Harshvardhan  Singh</v>
      </c>
    </row>
    <row r="6" spans="3:8" x14ac:dyDescent="0.3">
      <c r="C6" s="1" t="s">
        <v>2</v>
      </c>
      <c r="D6" s="1" t="s">
        <v>18</v>
      </c>
      <c r="E6" s="1"/>
      <c r="F6" s="1"/>
      <c r="G6" s="1" t="str">
        <f>LEFT(D6,13)</f>
        <v xml:space="preserve">Harshvardhan </v>
      </c>
    </row>
    <row r="7" spans="3:8" x14ac:dyDescent="0.3">
      <c r="C7" s="1" t="s">
        <v>3</v>
      </c>
      <c r="D7" s="1" t="s">
        <v>18</v>
      </c>
      <c r="E7" s="1"/>
      <c r="F7" s="1"/>
      <c r="G7" s="1" t="str">
        <f>RIGHT(D7,8)</f>
        <v>an Singh</v>
      </c>
    </row>
    <row r="8" spans="3:8" x14ac:dyDescent="0.3">
      <c r="C8" s="1" t="s">
        <v>4</v>
      </c>
      <c r="D8" s="1" t="s">
        <v>21</v>
      </c>
      <c r="E8" s="1"/>
      <c r="F8" s="1"/>
      <c r="G8" s="1">
        <f>LEN(D8)</f>
        <v>21</v>
      </c>
      <c r="H8" s="6" t="s">
        <v>41</v>
      </c>
    </row>
    <row r="9" spans="3:8" x14ac:dyDescent="0.3">
      <c r="C9" s="1" t="s">
        <v>5</v>
      </c>
      <c r="D9" s="1" t="s">
        <v>18</v>
      </c>
      <c r="E9" s="1"/>
      <c r="F9" s="1"/>
      <c r="G9" s="1" t="str">
        <f>MID(D9,3,4)</f>
        <v>rshv</v>
      </c>
    </row>
    <row r="10" spans="3:8" x14ac:dyDescent="0.3">
      <c r="C10" s="1" t="s">
        <v>7</v>
      </c>
      <c r="D10" s="1" t="s">
        <v>18</v>
      </c>
      <c r="E10" s="1"/>
      <c r="F10" s="1"/>
      <c r="G10" s="1" t="str">
        <f>LOWER(D10)</f>
        <v>harshvardhan singh</v>
      </c>
    </row>
    <row r="11" spans="3:8" x14ac:dyDescent="0.3">
      <c r="C11" s="1" t="s">
        <v>8</v>
      </c>
      <c r="D11" s="1" t="s">
        <v>18</v>
      </c>
      <c r="E11" s="1"/>
      <c r="F11" s="1"/>
      <c r="G11" s="1" t="str">
        <f>UPPER(D11)</f>
        <v>HARSHVARDHAN SINGH</v>
      </c>
    </row>
    <row r="12" spans="3:8" x14ac:dyDescent="0.3">
      <c r="C12" s="1" t="s">
        <v>9</v>
      </c>
      <c r="D12" s="1" t="s">
        <v>18</v>
      </c>
      <c r="E12" s="1"/>
      <c r="F12" s="1"/>
      <c r="G12" s="1" t="str">
        <f>PROPER(D12)</f>
        <v>Harshvardhan Singh</v>
      </c>
    </row>
    <row r="13" spans="3:8" x14ac:dyDescent="0.3">
      <c r="C13" s="1" t="s">
        <v>10</v>
      </c>
      <c r="D13" s="1" t="s">
        <v>40</v>
      </c>
      <c r="E13" s="1"/>
      <c r="F13" s="1"/>
      <c r="G13" s="1" t="str">
        <f>TRIM(D13)</f>
        <v>Harshvardhan Singh</v>
      </c>
    </row>
    <row r="14" spans="3:8" ht="31.2" x14ac:dyDescent="0.3">
      <c r="C14" s="1" t="s">
        <v>11</v>
      </c>
      <c r="D14" s="1" t="s">
        <v>18</v>
      </c>
      <c r="E14" s="1"/>
      <c r="F14" s="1"/>
      <c r="G14" s="1">
        <f>FIND("h",D14)</f>
        <v>5</v>
      </c>
      <c r="H14" s="5" t="s">
        <v>22</v>
      </c>
    </row>
    <row r="15" spans="3:8" x14ac:dyDescent="0.3">
      <c r="C15" s="2" t="s">
        <v>12</v>
      </c>
      <c r="D15" s="2" t="s">
        <v>18</v>
      </c>
      <c r="E15" s="2"/>
      <c r="F15" s="2"/>
      <c r="G15" s="2">
        <f>SEARCH("sh",D15)</f>
        <v>4</v>
      </c>
      <c r="H15" s="6" t="s">
        <v>23</v>
      </c>
    </row>
    <row r="16" spans="3:8" x14ac:dyDescent="0.3">
      <c r="C16" s="1" t="s">
        <v>13</v>
      </c>
      <c r="D16" s="1" t="s">
        <v>18</v>
      </c>
      <c r="E16" s="1"/>
      <c r="F16" s="1"/>
      <c r="G16" s="1" t="str">
        <f>REPLACE(D16,3,5,"-")</f>
        <v>Ha-rdhan Singh</v>
      </c>
    </row>
    <row r="17" spans="3:8" x14ac:dyDescent="0.3">
      <c r="C17" s="1" t="s">
        <v>24</v>
      </c>
      <c r="D17" s="1" t="s">
        <v>18</v>
      </c>
      <c r="E17" s="1"/>
      <c r="F17" s="1"/>
      <c r="G17" s="1" t="str">
        <f>SUBSTITUTE(D17,"Singh", "Sharma")</f>
        <v>Harshvardhan Sharma</v>
      </c>
    </row>
    <row r="18" spans="3:8" x14ac:dyDescent="0.3">
      <c r="C18" s="1" t="s">
        <v>25</v>
      </c>
      <c r="D18" s="1" t="s">
        <v>18</v>
      </c>
      <c r="E18" s="1"/>
      <c r="F18" s="1"/>
      <c r="G18" s="1" t="b">
        <f>EXACT(D18,G13)</f>
        <v>1</v>
      </c>
    </row>
    <row r="19" spans="3:8" x14ac:dyDescent="0.3">
      <c r="C19" s="15"/>
      <c r="D19" s="15"/>
      <c r="E19" s="15"/>
      <c r="F19" s="15"/>
      <c r="G19" s="15"/>
    </row>
    <row r="22" spans="3:8" x14ac:dyDescent="0.3">
      <c r="C22" s="10" t="s">
        <v>37</v>
      </c>
      <c r="D22" s="11"/>
      <c r="E22" s="11"/>
      <c r="F22" s="11"/>
      <c r="G22" s="12"/>
    </row>
    <row r="23" spans="3:8" x14ac:dyDescent="0.3">
      <c r="C23" s="20" t="s">
        <v>30</v>
      </c>
      <c r="D23" s="19"/>
      <c r="E23" s="21" t="s">
        <v>28</v>
      </c>
      <c r="F23" s="21" t="s">
        <v>29</v>
      </c>
      <c r="G23" s="22"/>
    </row>
    <row r="24" spans="3:8" x14ac:dyDescent="0.3">
      <c r="C24" s="16" t="s">
        <v>18</v>
      </c>
      <c r="D24" s="14"/>
      <c r="E24" s="18" t="s">
        <v>15</v>
      </c>
      <c r="F24" s="17" t="s">
        <v>16</v>
      </c>
      <c r="G24" s="13"/>
      <c r="H24" s="6" t="s">
        <v>38</v>
      </c>
    </row>
    <row r="25" spans="3:8" x14ac:dyDescent="0.3">
      <c r="C25" s="7"/>
      <c r="D25" s="7"/>
      <c r="E25" s="7"/>
      <c r="F25" s="7"/>
    </row>
    <row r="28" spans="3:8" x14ac:dyDescent="0.3">
      <c r="C28" s="24" t="s">
        <v>28</v>
      </c>
      <c r="D28" s="24" t="s">
        <v>29</v>
      </c>
      <c r="E28" s="24" t="s">
        <v>30</v>
      </c>
      <c r="F28" s="25" t="s">
        <v>33</v>
      </c>
      <c r="G28" s="25" t="s">
        <v>34</v>
      </c>
    </row>
    <row r="29" spans="3:8" x14ac:dyDescent="0.3">
      <c r="C29" s="1" t="s">
        <v>26</v>
      </c>
      <c r="D29" s="1" t="s">
        <v>27</v>
      </c>
      <c r="E29" s="1" t="str">
        <f>TRIM(PROPER(CONCATENATE(C29,D29)))</f>
        <v>Harshvardhan Singh</v>
      </c>
      <c r="F29" s="1">
        <v>17</v>
      </c>
      <c r="G29" s="1" t="str">
        <f>IF(F29&gt;=18,"Eligible","Not Eligible")</f>
        <v>Not Eligible</v>
      </c>
    </row>
    <row r="30" spans="3:8" x14ac:dyDescent="0.3">
      <c r="C30" s="1" t="s">
        <v>31</v>
      </c>
      <c r="D30" s="1" t="s">
        <v>32</v>
      </c>
      <c r="E30" s="1" t="str">
        <f>TRIM(PROPER(CONCATENATE(C30,D30)))</f>
        <v>Mohit Kumar</v>
      </c>
      <c r="F30" s="1">
        <v>26</v>
      </c>
      <c r="G30" s="1" t="str">
        <f t="shared" ref="G30:G31" si="0">IF(F30&gt;=18,"Eligible","Not Eligible")</f>
        <v>Eligible</v>
      </c>
      <c r="H30" t="str">
        <f>IF(F29&gt;=18,F29,"Not Eligible")</f>
        <v>Not Eligible</v>
      </c>
    </row>
    <row r="31" spans="3:8" x14ac:dyDescent="0.3">
      <c r="C31" s="1" t="s">
        <v>36</v>
      </c>
      <c r="D31" s="1" t="s">
        <v>35</v>
      </c>
      <c r="E31" s="1" t="str">
        <f>TRIM(PROPER(CONCATENATE(C31,D31)))</f>
        <v>Samay Raina</v>
      </c>
      <c r="F31" s="1">
        <v>35</v>
      </c>
      <c r="G31" s="1" t="str">
        <f t="shared" si="0"/>
        <v>Eligible</v>
      </c>
      <c r="H31">
        <f t="shared" ref="H31:H32" si="1">IF(F30&gt;=18,F30,"Not Eligible")</f>
        <v>26</v>
      </c>
    </row>
    <row r="32" spans="3:8" x14ac:dyDescent="0.3">
      <c r="H32">
        <f t="shared" si="1"/>
        <v>35</v>
      </c>
    </row>
  </sheetData>
  <mergeCells count="4">
    <mergeCell ref="C23:D23"/>
    <mergeCell ref="D4:G4"/>
    <mergeCell ref="C3:G3"/>
    <mergeCell ref="C22:G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Text Cleaning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shobita Bedi</cp:lastModifiedBy>
  <dcterms:created xsi:type="dcterms:W3CDTF">2023-12-06T04:08:35Z</dcterms:created>
  <dcterms:modified xsi:type="dcterms:W3CDTF">2026-06-24T14:57:01Z</dcterms:modified>
</cp:coreProperties>
</file>