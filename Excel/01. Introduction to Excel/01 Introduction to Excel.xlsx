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FG\DA-WD-8\DA\1. Introduction to Excel\"/>
    </mc:Choice>
  </mc:AlternateContent>
  <xr:revisionPtr revIDLastSave="0" documentId="13_ncr:1_{A42B2CAB-B284-4CF9-8E48-9F0B10F8AA1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1. Introduction to Excel" sheetId="1" r:id="rId1"/>
    <sheet name="Sheet1" sheetId="2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6" i="4" l="1"/>
  <c r="K65" i="4"/>
  <c r="K64" i="4"/>
  <c r="K67" i="4" s="1"/>
  <c r="K63" i="4"/>
  <c r="K62" i="4"/>
  <c r="K57" i="4"/>
  <c r="K56" i="4"/>
  <c r="K55" i="4"/>
  <c r="K58" i="4" s="1"/>
  <c r="K54" i="4"/>
  <c r="K53" i="4"/>
  <c r="I47" i="4"/>
  <c r="I46" i="4"/>
  <c r="I45" i="4"/>
  <c r="N31" i="4"/>
  <c r="N30" i="4"/>
  <c r="N29" i="4"/>
  <c r="N28" i="4"/>
  <c r="D25" i="4"/>
  <c r="D24" i="4"/>
  <c r="I23" i="4"/>
  <c r="I22" i="4"/>
  <c r="T21" i="4"/>
  <c r="I21" i="4"/>
  <c r="I20" i="4"/>
  <c r="I19" i="4"/>
  <c r="I18" i="4"/>
  <c r="J17" i="4"/>
  <c r="I17" i="4"/>
  <c r="K41" i="2"/>
  <c r="K40" i="2"/>
  <c r="K39" i="2"/>
  <c r="K38" i="2"/>
  <c r="K37" i="2"/>
  <c r="I33" i="2"/>
  <c r="I32" i="2"/>
  <c r="I29" i="2"/>
  <c r="I28" i="2"/>
  <c r="I27" i="2"/>
  <c r="I26" i="2"/>
  <c r="I25" i="2"/>
  <c r="I24" i="2"/>
  <c r="I23" i="2"/>
  <c r="I22" i="2"/>
  <c r="I21" i="2"/>
  <c r="C33" i="1"/>
  <c r="B33" i="1"/>
  <c r="C32" i="1"/>
  <c r="B32" i="1"/>
  <c r="C31" i="1"/>
  <c r="B31" i="1"/>
  <c r="G30" i="1"/>
  <c r="B30" i="1"/>
  <c r="G29" i="1"/>
  <c r="B29" i="1"/>
  <c r="G28" i="1"/>
  <c r="B28" i="1"/>
  <c r="B27" i="1"/>
  <c r="H25" i="1"/>
  <c r="H24" i="1"/>
  <c r="H23" i="1"/>
  <c r="B21" i="1"/>
  <c r="C20" i="1"/>
  <c r="C19" i="1"/>
  <c r="C18" i="1"/>
  <c r="H17" i="1"/>
  <c r="H16" i="1"/>
  <c r="H15" i="1"/>
  <c r="H14" i="1"/>
  <c r="D31" i="1" l="1"/>
  <c r="G32" i="1"/>
  <c r="G33" i="1"/>
  <c r="D32" i="1"/>
  <c r="G31" i="1"/>
  <c r="D33" i="1"/>
</calcChain>
</file>

<file path=xl/sharedStrings.xml><?xml version="1.0" encoding="utf-8"?>
<sst xmlns="http://schemas.openxmlformats.org/spreadsheetml/2006/main" count="150" uniqueCount="68">
  <si>
    <t>Interface Walkthrough</t>
  </si>
  <si>
    <t>Numeric Replication</t>
  </si>
  <si>
    <t>Text Replication</t>
  </si>
  <si>
    <t>A</t>
  </si>
  <si>
    <t>B</t>
  </si>
  <si>
    <t>Harsh</t>
  </si>
  <si>
    <t>Kumar</t>
  </si>
  <si>
    <t>Text Formatting</t>
  </si>
  <si>
    <t>Merging</t>
  </si>
  <si>
    <t>Text Merged</t>
  </si>
  <si>
    <t>Row</t>
  </si>
  <si>
    <t>Col</t>
  </si>
  <si>
    <t>Cell Naming</t>
  </si>
  <si>
    <t>B3</t>
  </si>
  <si>
    <t>Types of Data in Excel</t>
  </si>
  <si>
    <t>text</t>
  </si>
  <si>
    <t>(Format Data)</t>
  </si>
  <si>
    <t>Formulas</t>
  </si>
  <si>
    <t>Math and Trigonometry Functions</t>
  </si>
  <si>
    <t>SUM</t>
  </si>
  <si>
    <t>AVERAGE</t>
  </si>
  <si>
    <t>MAX</t>
  </si>
  <si>
    <t>MIN</t>
  </si>
  <si>
    <t>ROUND</t>
  </si>
  <si>
    <t>ROUNDUP</t>
  </si>
  <si>
    <t>ROUNDDOWN</t>
  </si>
  <si>
    <t>RAND</t>
  </si>
  <si>
    <t>Random Number in Specific Range</t>
  </si>
  <si>
    <t>Statistical Functions</t>
  </si>
  <si>
    <t>COUNT</t>
  </si>
  <si>
    <t>No. of Numeric Values</t>
  </si>
  <si>
    <t>COUNTA</t>
  </si>
  <si>
    <t>No of non-empty cells</t>
  </si>
  <si>
    <t>COUNTIF</t>
  </si>
  <si>
    <t>&gt;= 15</t>
  </si>
  <si>
    <t>Date and Time Functions</t>
  </si>
  <si>
    <t>NOW</t>
  </si>
  <si>
    <t>TODAY</t>
  </si>
  <si>
    <t>DATE</t>
  </si>
  <si>
    <t>TIME</t>
  </si>
  <si>
    <t>DATEDIF | Days</t>
  </si>
  <si>
    <t>DATEDIF | Month</t>
  </si>
  <si>
    <t>DATEDIF | Year</t>
  </si>
  <si>
    <t>Manish</t>
  </si>
  <si>
    <t>Hi Guy you can merge</t>
  </si>
  <si>
    <t>Dheeraj</t>
  </si>
  <si>
    <t>Functions</t>
  </si>
  <si>
    <t>RANDBETWEEN</t>
  </si>
  <si>
    <t>Number of Int values</t>
  </si>
  <si>
    <t>Number of Non empty values</t>
  </si>
  <si>
    <t>_</t>
  </si>
  <si>
    <t>InValid Positive</t>
  </si>
  <si>
    <t>Invalid Negative</t>
  </si>
  <si>
    <t>Eligible for voting</t>
  </si>
  <si>
    <t>Total Invalid Ages</t>
  </si>
  <si>
    <t>Amit</t>
  </si>
  <si>
    <t>Vimal</t>
  </si>
  <si>
    <t>sum</t>
  </si>
  <si>
    <t>average</t>
  </si>
  <si>
    <t>max</t>
  </si>
  <si>
    <t>min</t>
  </si>
  <si>
    <t>Count of Integer Values</t>
  </si>
  <si>
    <t>NA</t>
  </si>
  <si>
    <t>Count of Non Empty Values</t>
  </si>
  <si>
    <t>Count of Invalid Positive</t>
  </si>
  <si>
    <t>Count of Invalid Negative</t>
  </si>
  <si>
    <t>Number of People eligible for Voting</t>
  </si>
  <si>
    <t>Total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</si>
</sst>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3" tint="-0.499984740745262"/>
      <name val="Calibri"/>
      <family val="2"/>
      <scheme val="minor"/>
    </font>
    <font>
      <sz val="12"/>
      <color theme="3" tint="-0.499984740745262"/>
      <name val="Apple Braille"/>
    </font>
    <font>
      <sz val="12"/>
      <color theme="3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0007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quotePrefix="1"/>
    <xf numFmtId="14" fontId="0" fillId="0" borderId="0" xfId="0" applyNumberFormat="1"/>
    <xf numFmtId="0" fontId="0" fillId="3" borderId="1" xfId="0" applyFill="1" applyBorder="1" applyAlignment="1">
      <alignment horizontal="center"/>
    </xf>
    <xf numFmtId="0" fontId="3" fillId="0" borderId="0" xfId="0" applyFont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2" fontId="0" fillId="0" borderId="0" xfId="0" applyNumberFormat="1"/>
    <xf numFmtId="18" fontId="0" fillId="0" borderId="0" xfId="0" applyNumberFormat="1"/>
    <xf numFmtId="0" fontId="0" fillId="4" borderId="0" xfId="0" applyFill="1"/>
    <xf numFmtId="0" fontId="2" fillId="5" borderId="0" xfId="0" applyFont="1" applyFill="1" applyAlignment="1">
      <alignment horizontal="center"/>
    </xf>
    <xf numFmtId="0" fontId="0" fillId="6" borderId="1" xfId="0" applyFill="1" applyBorder="1"/>
    <xf numFmtId="0" fontId="3" fillId="6" borderId="1" xfId="0" applyFont="1" applyFill="1" applyBorder="1"/>
    <xf numFmtId="0" fontId="4" fillId="6" borderId="0" xfId="0" applyFont="1" applyFill="1" applyAlignment="1">
      <alignment horizontal="center"/>
    </xf>
    <xf numFmtId="0" fontId="0" fillId="6" borderId="0" xfId="0" applyFill="1"/>
    <xf numFmtId="0" fontId="0" fillId="7" borderId="0" xfId="0" applyFill="1"/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E8" sqref="E8"/>
    </sheetView>
  </sheetViews>
  <sheetFormatPr defaultColWidth="12.5703125" defaultRowHeight="15"/>
  <cols>
    <col min="1" max="1" width="35.85546875" customWidth="1"/>
    <col min="2" max="2" width="19" customWidth="1"/>
    <col min="4" max="4" width="18" bestFit="1" customWidth="1"/>
  </cols>
  <sheetData>
    <row r="1" spans="1:8" ht="18.75">
      <c r="A1" s="19" t="s">
        <v>0</v>
      </c>
      <c r="B1" s="19"/>
      <c r="C1" s="19"/>
      <c r="D1" s="19"/>
      <c r="E1" s="19"/>
      <c r="F1" s="19"/>
      <c r="G1" s="19"/>
      <c r="H1" s="19"/>
    </row>
    <row r="2" spans="1:8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 spans="1:8">
      <c r="A3" t="s">
        <v>1</v>
      </c>
      <c r="B3">
        <v>1</v>
      </c>
      <c r="C3">
        <v>4</v>
      </c>
      <c r="D3">
        <v>7</v>
      </c>
      <c r="E3">
        <v>10</v>
      </c>
      <c r="F3">
        <v>13</v>
      </c>
      <c r="G3">
        <v>16</v>
      </c>
      <c r="H3">
        <v>19</v>
      </c>
    </row>
    <row r="4" spans="1:8">
      <c r="A4" t="s">
        <v>2</v>
      </c>
      <c r="B4" t="s">
        <v>3</v>
      </c>
      <c r="C4" t="s">
        <v>4</v>
      </c>
      <c r="D4" t="s">
        <v>3</v>
      </c>
      <c r="E4" t="s">
        <v>4</v>
      </c>
      <c r="F4" t="s">
        <v>3</v>
      </c>
      <c r="G4" t="s">
        <v>3</v>
      </c>
      <c r="H4" t="s">
        <v>4</v>
      </c>
    </row>
    <row r="5" spans="1:8">
      <c r="A5" t="s">
        <v>2</v>
      </c>
      <c r="B5" t="s">
        <v>5</v>
      </c>
      <c r="C5" t="s">
        <v>6</v>
      </c>
      <c r="D5" t="s">
        <v>5</v>
      </c>
      <c r="E5" t="s">
        <v>6</v>
      </c>
      <c r="F5" t="s">
        <v>5</v>
      </c>
      <c r="G5" t="s">
        <v>6</v>
      </c>
      <c r="H5" t="s">
        <v>5</v>
      </c>
    </row>
    <row r="6" spans="1:8" ht="15.75">
      <c r="A6" t="s">
        <v>7</v>
      </c>
      <c r="B6" s="20" t="s">
        <v>7</v>
      </c>
    </row>
    <row r="7" spans="1:8" ht="15.75">
      <c r="A7" t="s">
        <v>8</v>
      </c>
      <c r="B7" s="21" t="s">
        <v>9</v>
      </c>
      <c r="C7" s="21"/>
      <c r="D7" s="21"/>
    </row>
    <row r="8" spans="1:8">
      <c r="A8" t="s">
        <v>10</v>
      </c>
      <c r="B8">
        <v>1</v>
      </c>
    </row>
    <row r="9" spans="1:8">
      <c r="A9" t="s">
        <v>11</v>
      </c>
      <c r="B9" t="s">
        <v>4</v>
      </c>
    </row>
    <row r="10" spans="1:8">
      <c r="A10" t="s">
        <v>12</v>
      </c>
      <c r="B10" t="s">
        <v>13</v>
      </c>
    </row>
    <row r="11" spans="1:8">
      <c r="A11" t="s">
        <v>14</v>
      </c>
      <c r="B11">
        <v>1</v>
      </c>
      <c r="C11" s="2" t="s">
        <v>15</v>
      </c>
      <c r="D11" s="3">
        <v>36088</v>
      </c>
      <c r="E11" t="s">
        <v>16</v>
      </c>
    </row>
    <row r="12" spans="1:8" ht="18.75">
      <c r="A12" s="19" t="s">
        <v>17</v>
      </c>
      <c r="B12" s="1"/>
      <c r="C12" s="1"/>
      <c r="D12" s="1"/>
      <c r="E12" s="1"/>
      <c r="F12" s="1"/>
      <c r="G12" s="1"/>
      <c r="H12" s="1"/>
    </row>
    <row r="13" spans="1:8">
      <c r="A13" s="4" t="s">
        <v>18</v>
      </c>
      <c r="B13" s="4"/>
      <c r="C13" s="4"/>
      <c r="D13" s="4"/>
      <c r="E13" s="4"/>
      <c r="F13" s="4"/>
      <c r="G13" s="4"/>
      <c r="H13" s="4"/>
    </row>
    <row r="14" spans="1:8">
      <c r="A14" t="s">
        <v>19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f>SUM(B14:G14)</f>
        <v>21</v>
      </c>
    </row>
    <row r="15" spans="1:8">
      <c r="A15" t="s">
        <v>20</v>
      </c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f>AVERAGE(B15:G15)</f>
        <v>3.5</v>
      </c>
    </row>
    <row r="16" spans="1:8">
      <c r="A16" t="s">
        <v>21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f>MAX(B16:G16)</f>
        <v>6</v>
      </c>
    </row>
    <row r="17" spans="1:9">
      <c r="A17" t="s">
        <v>22</v>
      </c>
      <c r="B17">
        <v>1</v>
      </c>
      <c r="C17">
        <v>2</v>
      </c>
      <c r="D17">
        <v>3</v>
      </c>
      <c r="E17">
        <v>4</v>
      </c>
      <c r="F17">
        <v>5</v>
      </c>
      <c r="G17">
        <v>6</v>
      </c>
      <c r="H17">
        <f>MIN(B17:G17)</f>
        <v>1</v>
      </c>
    </row>
    <row r="18" spans="1:9">
      <c r="A18" t="s">
        <v>23</v>
      </c>
      <c r="B18">
        <v>3.1429999999999998</v>
      </c>
      <c r="C18">
        <f>ROUND(B18,2)</f>
        <v>3.14</v>
      </c>
    </row>
    <row r="19" spans="1:9">
      <c r="A19" t="s">
        <v>24</v>
      </c>
      <c r="B19">
        <v>3.1429999999999998</v>
      </c>
      <c r="C19">
        <f>ROUNDUP(B19,1)</f>
        <v>3.2</v>
      </c>
    </row>
    <row r="20" spans="1:9">
      <c r="A20" t="s">
        <v>25</v>
      </c>
      <c r="B20">
        <v>3.1429999999999998</v>
      </c>
      <c r="C20">
        <f>ROUNDDOWN(B20,1)</f>
        <v>3.1</v>
      </c>
    </row>
    <row r="21" spans="1:9">
      <c r="A21" t="s">
        <v>26</v>
      </c>
      <c r="B21">
        <f ca="1">RAND()</f>
        <v>0.39765413428888818</v>
      </c>
      <c r="I21" t="s">
        <v>27</v>
      </c>
    </row>
    <row r="22" spans="1:9">
      <c r="A22" s="4" t="s">
        <v>28</v>
      </c>
      <c r="B22" s="4"/>
      <c r="C22" s="4"/>
      <c r="D22" s="4"/>
      <c r="E22" s="4"/>
      <c r="F22" s="4"/>
      <c r="G22" s="4"/>
      <c r="H22" s="4"/>
    </row>
    <row r="23" spans="1:9">
      <c r="A23" t="s">
        <v>29</v>
      </c>
      <c r="B23">
        <v>1</v>
      </c>
      <c r="C23">
        <v>1</v>
      </c>
      <c r="D23" t="s">
        <v>3</v>
      </c>
      <c r="E23" t="s">
        <v>3</v>
      </c>
      <c r="F23" t="s">
        <v>3</v>
      </c>
      <c r="H23">
        <f>COUNT(B23:G23)</f>
        <v>2</v>
      </c>
      <c r="I23" t="s">
        <v>30</v>
      </c>
    </row>
    <row r="24" spans="1:9">
      <c r="A24" t="s">
        <v>31</v>
      </c>
      <c r="B24">
        <v>1</v>
      </c>
      <c r="D24" t="s">
        <v>3</v>
      </c>
      <c r="E24" t="s">
        <v>3</v>
      </c>
      <c r="H24">
        <f>COUNTA(B24:G24)</f>
        <v>3</v>
      </c>
      <c r="I24" t="s">
        <v>32</v>
      </c>
    </row>
    <row r="25" spans="1:9" ht="15.75">
      <c r="A25" t="s">
        <v>33</v>
      </c>
      <c r="B25">
        <v>10</v>
      </c>
      <c r="C25" s="5">
        <v>15</v>
      </c>
      <c r="D25" s="5">
        <v>20</v>
      </c>
      <c r="E25" s="5">
        <v>16</v>
      </c>
      <c r="F25" s="5">
        <v>18</v>
      </c>
      <c r="G25" s="5">
        <v>25</v>
      </c>
      <c r="H25">
        <f>COUNTIF(B25:G25,"&gt;=15")</f>
        <v>5</v>
      </c>
      <c r="I25" t="s">
        <v>34</v>
      </c>
    </row>
    <row r="26" spans="1:9">
      <c r="A26" s="6" t="s">
        <v>35</v>
      </c>
      <c r="B26" s="7"/>
      <c r="C26" s="7"/>
      <c r="D26" s="7"/>
      <c r="E26" s="7"/>
      <c r="F26" s="7"/>
      <c r="G26" s="7"/>
      <c r="H26" s="8"/>
    </row>
    <row r="27" spans="1:9">
      <c r="A27" t="s">
        <v>36</v>
      </c>
      <c r="B27" s="9">
        <f ca="1">NOW()</f>
        <v>45904.86558391204</v>
      </c>
      <c r="G27" s="9"/>
    </row>
    <row r="28" spans="1:9">
      <c r="A28" t="s">
        <v>37</v>
      </c>
      <c r="B28" s="3">
        <f ca="1">TODAY()</f>
        <v>45904</v>
      </c>
      <c r="G28" s="3">
        <f ca="1">TODAY()</f>
        <v>45904</v>
      </c>
    </row>
    <row r="29" spans="1:9">
      <c r="A29" t="s">
        <v>38</v>
      </c>
      <c r="B29" s="3">
        <f>DATE(2023, 12, 6)</f>
        <v>45266</v>
      </c>
      <c r="G29" s="3">
        <f>DATE(2025,2,13)</f>
        <v>45701</v>
      </c>
    </row>
    <row r="30" spans="1:9">
      <c r="A30" t="s">
        <v>39</v>
      </c>
      <c r="B30" s="10">
        <f>TIME(5, 30, 0)</f>
        <v>0.22916666666666666</v>
      </c>
      <c r="F30" s="10"/>
      <c r="G30" s="10">
        <f>TIME(13,54,12)</f>
        <v>0.57930555555555552</v>
      </c>
    </row>
    <row r="31" spans="1:9">
      <c r="A31" t="s">
        <v>40</v>
      </c>
      <c r="B31" s="3">
        <f ca="1">TODAY()</f>
        <v>45904</v>
      </c>
      <c r="C31" s="3">
        <f>DATE(2023, 12, 8)</f>
        <v>45268</v>
      </c>
      <c r="D31">
        <f ca="1">DATEDIF(C31,B31,"d")</f>
        <v>636</v>
      </c>
      <c r="G31">
        <f ca="1">DATEDIF(C31,B31,"d")</f>
        <v>636</v>
      </c>
    </row>
    <row r="32" spans="1:9">
      <c r="A32" t="s">
        <v>41</v>
      </c>
      <c r="B32" s="3">
        <f ca="1">TODAY()</f>
        <v>45904</v>
      </c>
      <c r="C32" s="3">
        <f>DATE(2020, 12, 8)</f>
        <v>44173</v>
      </c>
      <c r="D32">
        <f ca="1">DATEDIF(C32,B32,"m")</f>
        <v>56</v>
      </c>
      <c r="G32">
        <f ca="1">DATEDIF(C32,B32,"m")</f>
        <v>56</v>
      </c>
    </row>
    <row r="33" spans="1:7">
      <c r="A33" t="s">
        <v>42</v>
      </c>
      <c r="B33" s="3">
        <f ca="1">TODAY()</f>
        <v>45904</v>
      </c>
      <c r="C33" s="3">
        <f>DATE(2020, 12, 8)</f>
        <v>44173</v>
      </c>
      <c r="D33">
        <f ca="1">DATEDIF(C33,B33,"y")</f>
        <v>4</v>
      </c>
      <c r="G33">
        <f ca="1">DATEDIF(C33,B33,"y")</f>
        <v>4</v>
      </c>
    </row>
    <row r="34" spans="1:7">
      <c r="B34" s="3"/>
      <c r="C34" s="3"/>
    </row>
  </sheetData>
  <mergeCells count="6">
    <mergeCell ref="A1:H1"/>
    <mergeCell ref="B7:D7"/>
    <mergeCell ref="A12:H12"/>
    <mergeCell ref="A13:H13"/>
    <mergeCell ref="A22:H22"/>
    <mergeCell ref="A26:H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8CB9-E971-4F9E-9C67-E449E4266EAC}">
  <dimension ref="B3:K44"/>
  <sheetViews>
    <sheetView workbookViewId="0">
      <selection activeCell="I28" sqref="I28"/>
    </sheetView>
  </sheetViews>
  <sheetFormatPr defaultColWidth="14.7109375" defaultRowHeight="15"/>
  <sheetData>
    <row r="3" spans="2:8">
      <c r="B3" t="s">
        <v>5</v>
      </c>
      <c r="C3" s="11">
        <v>23</v>
      </c>
      <c r="D3">
        <v>34.5</v>
      </c>
    </row>
    <row r="4" spans="2:8" ht="15.75">
      <c r="B4" t="s">
        <v>43</v>
      </c>
      <c r="C4" s="11">
        <v>25</v>
      </c>
      <c r="D4">
        <v>69</v>
      </c>
      <c r="G4" s="12" t="s">
        <v>44</v>
      </c>
      <c r="H4" s="12"/>
    </row>
    <row r="5" spans="2:8">
      <c r="B5" t="s">
        <v>45</v>
      </c>
      <c r="C5" s="11">
        <v>48</v>
      </c>
    </row>
    <row r="6" spans="2:8">
      <c r="B6" t="s">
        <v>5</v>
      </c>
    </row>
    <row r="7" spans="2:8">
      <c r="B7" t="s">
        <v>43</v>
      </c>
    </row>
    <row r="8" spans="2:8">
      <c r="B8" t="s">
        <v>45</v>
      </c>
      <c r="F8" s="3">
        <v>43508</v>
      </c>
      <c r="G8" s="3">
        <v>45290</v>
      </c>
    </row>
    <row r="9" spans="2:8">
      <c r="B9" t="s">
        <v>5</v>
      </c>
    </row>
    <row r="10" spans="2:8">
      <c r="B10" t="s">
        <v>43</v>
      </c>
    </row>
    <row r="11" spans="2:8">
      <c r="B11" t="s">
        <v>45</v>
      </c>
    </row>
    <row r="12" spans="2:8">
      <c r="B12" t="s">
        <v>5</v>
      </c>
    </row>
    <row r="20" spans="2:9">
      <c r="B20" t="s">
        <v>46</v>
      </c>
    </row>
    <row r="21" spans="2:9">
      <c r="B21" t="s">
        <v>19</v>
      </c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  <c r="I21">
        <f>SUM(C21:H21)</f>
        <v>21</v>
      </c>
    </row>
    <row r="22" spans="2:9">
      <c r="B22" t="s">
        <v>20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f>AVERAGE(C22:H22)</f>
        <v>3.5</v>
      </c>
    </row>
    <row r="23" spans="2:9">
      <c r="B23" t="s">
        <v>21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f>MAX(C23:H23)</f>
        <v>6</v>
      </c>
    </row>
    <row r="24" spans="2:9">
      <c r="B24" t="s">
        <v>22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f>MIN(C24:H24)</f>
        <v>1</v>
      </c>
    </row>
    <row r="25" spans="2:9">
      <c r="B25" t="s">
        <v>23</v>
      </c>
      <c r="C25">
        <v>3.1339999999999999</v>
      </c>
      <c r="I25">
        <f>ROUND(C25,2)</f>
        <v>3.13</v>
      </c>
    </row>
    <row r="26" spans="2:9">
      <c r="B26" t="s">
        <v>24</v>
      </c>
      <c r="C26">
        <v>3.1339999999999999</v>
      </c>
      <c r="I26">
        <f>ROUNDUP(C26,2)</f>
        <v>3.1399999999999997</v>
      </c>
    </row>
    <row r="27" spans="2:9">
      <c r="B27" t="s">
        <v>25</v>
      </c>
      <c r="C27">
        <v>3.1339999999999999</v>
      </c>
      <c r="I27">
        <f>ROUNDDOWN(C27,3)</f>
        <v>3.1339999999999999</v>
      </c>
    </row>
    <row r="28" spans="2:9">
      <c r="B28" t="s">
        <v>26</v>
      </c>
      <c r="I28">
        <f ca="1">RAND()</f>
        <v>0.70776326600933004</v>
      </c>
    </row>
    <row r="29" spans="2:9">
      <c r="B29" t="s">
        <v>47</v>
      </c>
      <c r="I29">
        <f ca="1">RANDBETWEEN(1,6)</f>
        <v>4</v>
      </c>
    </row>
    <row r="32" spans="2:9">
      <c r="D32" t="s">
        <v>3</v>
      </c>
      <c r="E32" t="s">
        <v>3</v>
      </c>
      <c r="F32" t="s">
        <v>3</v>
      </c>
      <c r="G32">
        <v>1</v>
      </c>
      <c r="H32">
        <v>1</v>
      </c>
      <c r="I32">
        <f>COUNT(C32:H32)</f>
        <v>2</v>
      </c>
    </row>
    <row r="33" spans="3:11">
      <c r="D33" t="s">
        <v>3</v>
      </c>
      <c r="E33" t="s">
        <v>3</v>
      </c>
      <c r="F33" t="s">
        <v>3</v>
      </c>
      <c r="G33">
        <v>1</v>
      </c>
      <c r="H33">
        <v>1</v>
      </c>
      <c r="I33">
        <f>COUNTA(C33:H33)</f>
        <v>5</v>
      </c>
    </row>
    <row r="37" spans="3:11" ht="15.75">
      <c r="C37" s="13">
        <v>10</v>
      </c>
      <c r="D37" s="14">
        <v>15</v>
      </c>
      <c r="E37" s="14">
        <v>20</v>
      </c>
      <c r="F37" s="14">
        <v>16</v>
      </c>
      <c r="G37" s="14">
        <v>18</v>
      </c>
      <c r="H37" s="14">
        <v>25</v>
      </c>
      <c r="J37" t="s">
        <v>48</v>
      </c>
      <c r="K37">
        <f>COUNT(C37:H44)</f>
        <v>44</v>
      </c>
    </row>
    <row r="38" spans="3:11" ht="15.75">
      <c r="C38" s="13">
        <v>10</v>
      </c>
      <c r="D38" s="14">
        <v>15</v>
      </c>
      <c r="E38" s="14">
        <v>20</v>
      </c>
      <c r="F38" s="14">
        <v>16</v>
      </c>
      <c r="G38" s="14">
        <v>18</v>
      </c>
      <c r="H38" s="14">
        <v>250</v>
      </c>
      <c r="J38" t="s">
        <v>49</v>
      </c>
      <c r="K38">
        <f>COUNTA(C37:H44)</f>
        <v>48</v>
      </c>
    </row>
    <row r="39" spans="3:11" ht="15.75">
      <c r="C39" s="13">
        <v>-10</v>
      </c>
      <c r="D39" s="14">
        <v>15</v>
      </c>
      <c r="E39" s="14">
        <v>20</v>
      </c>
      <c r="F39" s="14" t="s">
        <v>50</v>
      </c>
      <c r="G39" s="14">
        <v>18</v>
      </c>
      <c r="H39" s="14">
        <v>25</v>
      </c>
      <c r="J39" t="s">
        <v>51</v>
      </c>
      <c r="K39">
        <f>COUNTIF(C37:H44,"&gt;100")</f>
        <v>3</v>
      </c>
    </row>
    <row r="40" spans="3:11" ht="15.75">
      <c r="C40" s="13">
        <v>10</v>
      </c>
      <c r="D40" s="14" t="s">
        <v>50</v>
      </c>
      <c r="E40" s="14">
        <v>20</v>
      </c>
      <c r="F40" s="14">
        <v>16</v>
      </c>
      <c r="G40" s="14">
        <v>180</v>
      </c>
      <c r="H40" s="14">
        <v>25</v>
      </c>
      <c r="J40" t="s">
        <v>52</v>
      </c>
      <c r="K40">
        <f>COUNTIF(C37:H44,"&lt;0")</f>
        <v>3</v>
      </c>
    </row>
    <row r="41" spans="3:11" ht="15.75">
      <c r="C41" s="13">
        <v>10</v>
      </c>
      <c r="D41" s="14">
        <v>15</v>
      </c>
      <c r="E41" s="14" t="s">
        <v>50</v>
      </c>
      <c r="F41" s="14">
        <v>-16</v>
      </c>
      <c r="G41" s="14">
        <v>18</v>
      </c>
      <c r="H41" s="14">
        <v>25</v>
      </c>
      <c r="J41" t="s">
        <v>53</v>
      </c>
      <c r="K41">
        <f>COUNTIF(C37:H44,"&gt;18")</f>
        <v>17</v>
      </c>
    </row>
    <row r="42" spans="3:11" ht="15.75">
      <c r="C42" s="13">
        <v>-10</v>
      </c>
      <c r="D42" s="14">
        <v>15</v>
      </c>
      <c r="E42" s="14">
        <v>20</v>
      </c>
      <c r="F42" s="14">
        <v>16</v>
      </c>
      <c r="G42" s="14" t="s">
        <v>50</v>
      </c>
      <c r="H42" s="14">
        <v>25</v>
      </c>
      <c r="J42" t="s">
        <v>54</v>
      </c>
    </row>
    <row r="43" spans="3:11" ht="15.75">
      <c r="C43" s="13">
        <v>10</v>
      </c>
      <c r="D43" s="14">
        <v>15</v>
      </c>
      <c r="E43" s="14">
        <v>20</v>
      </c>
      <c r="F43" s="14">
        <v>16</v>
      </c>
      <c r="G43" s="14">
        <v>18</v>
      </c>
      <c r="H43" s="14">
        <v>25</v>
      </c>
    </row>
    <row r="44" spans="3:11" ht="15.75">
      <c r="C44" s="13">
        <v>10</v>
      </c>
      <c r="D44" s="14">
        <v>150</v>
      </c>
      <c r="E44" s="14">
        <v>20</v>
      </c>
      <c r="F44" s="14">
        <v>16</v>
      </c>
      <c r="G44" s="14">
        <v>18</v>
      </c>
      <c r="H44" s="14">
        <v>25</v>
      </c>
    </row>
  </sheetData>
  <mergeCells count="1">
    <mergeCell ref="G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24B0-B4BD-41B0-96E3-BCC5F4C594B1}">
  <dimension ref="B2:T67"/>
  <sheetViews>
    <sheetView workbookViewId="0">
      <selection activeCell="R21" sqref="R21"/>
    </sheetView>
  </sheetViews>
  <sheetFormatPr defaultRowHeight="15"/>
  <cols>
    <col min="2" max="2" width="14.5703125" bestFit="1" customWidth="1"/>
    <col min="7" max="7" width="11.5703125" bestFit="1" customWidth="1"/>
    <col min="10" max="10" width="21.7109375" customWidth="1"/>
  </cols>
  <sheetData>
    <row r="2" spans="2:8">
      <c r="B2" t="s">
        <v>5</v>
      </c>
      <c r="C2">
        <v>23</v>
      </c>
      <c r="D2">
        <v>23.45</v>
      </c>
    </row>
    <row r="3" spans="2:8">
      <c r="B3" t="s">
        <v>55</v>
      </c>
      <c r="C3">
        <v>41</v>
      </c>
      <c r="D3">
        <v>34.67</v>
      </c>
    </row>
    <row r="4" spans="2:8" ht="15.75">
      <c r="B4" t="s">
        <v>56</v>
      </c>
      <c r="C4">
        <v>44</v>
      </c>
      <c r="D4">
        <v>67.95</v>
      </c>
      <c r="G4" s="15" t="s">
        <v>5</v>
      </c>
      <c r="H4" s="15"/>
    </row>
    <row r="5" spans="2:8">
      <c r="B5" t="s">
        <v>5</v>
      </c>
      <c r="C5">
        <v>57</v>
      </c>
    </row>
    <row r="6" spans="2:8">
      <c r="B6" t="s">
        <v>55</v>
      </c>
      <c r="C6">
        <v>67.5</v>
      </c>
    </row>
    <row r="7" spans="2:8">
      <c r="B7" t="s">
        <v>5</v>
      </c>
      <c r="C7">
        <v>78</v>
      </c>
    </row>
    <row r="8" spans="2:8">
      <c r="B8" t="s">
        <v>55</v>
      </c>
      <c r="C8">
        <v>88.5</v>
      </c>
      <c r="G8" s="3"/>
    </row>
    <row r="9" spans="2:8">
      <c r="B9" t="s">
        <v>56</v>
      </c>
      <c r="C9">
        <v>99</v>
      </c>
    </row>
    <row r="10" spans="2:8">
      <c r="B10" t="s">
        <v>5</v>
      </c>
      <c r="C10">
        <v>109.5</v>
      </c>
    </row>
    <row r="11" spans="2:8">
      <c r="B11" t="s">
        <v>55</v>
      </c>
      <c r="C11">
        <v>120</v>
      </c>
    </row>
    <row r="12" spans="2:8">
      <c r="B12" t="s">
        <v>5</v>
      </c>
      <c r="C12">
        <v>130.5</v>
      </c>
    </row>
    <row r="13" spans="2:8">
      <c r="B13" t="s">
        <v>55</v>
      </c>
      <c r="C13">
        <v>141</v>
      </c>
    </row>
    <row r="17" spans="2:20">
      <c r="B17" t="s">
        <v>19</v>
      </c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I17">
        <f>SUM(C17:H17)</f>
        <v>21</v>
      </c>
      <c r="J17">
        <f>SUM(D17:D20,F17:F20)</f>
        <v>24</v>
      </c>
    </row>
    <row r="18" spans="2:20">
      <c r="B18" t="s">
        <v>20</v>
      </c>
      <c r="C18">
        <v>1</v>
      </c>
      <c r="D18">
        <v>2</v>
      </c>
      <c r="E18">
        <v>3</v>
      </c>
      <c r="F18">
        <v>4</v>
      </c>
      <c r="G18">
        <v>5</v>
      </c>
      <c r="H18">
        <v>6</v>
      </c>
      <c r="I18">
        <f>AVERAGE(C18:H18)</f>
        <v>3.5</v>
      </c>
    </row>
    <row r="19" spans="2:20">
      <c r="B19" t="s">
        <v>21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f>MAX(C19:H19)</f>
        <v>6</v>
      </c>
    </row>
    <row r="20" spans="2:20">
      <c r="B20" t="s">
        <v>22</v>
      </c>
      <c r="C20">
        <v>1</v>
      </c>
      <c r="D20">
        <v>2</v>
      </c>
      <c r="E20">
        <v>3</v>
      </c>
      <c r="F20">
        <v>4</v>
      </c>
      <c r="G20">
        <v>5</v>
      </c>
      <c r="H20">
        <v>6</v>
      </c>
      <c r="I20">
        <f>MIN(C20:H20)</f>
        <v>1</v>
      </c>
    </row>
    <row r="21" spans="2:20">
      <c r="B21" t="s">
        <v>23</v>
      </c>
      <c r="D21">
        <v>3.1339999999999999</v>
      </c>
      <c r="I21">
        <f>ROUND(D21,2)</f>
        <v>3.13</v>
      </c>
      <c r="R21">
        <v>3.1429999999999998</v>
      </c>
      <c r="T21">
        <f>ROUNDUP(R21,2)</f>
        <v>3.15</v>
      </c>
    </row>
    <row r="22" spans="2:20">
      <c r="B22" t="s">
        <v>24</v>
      </c>
      <c r="D22">
        <v>3.1339999999999999</v>
      </c>
      <c r="I22">
        <f>ROUNDUP(D22,3)</f>
        <v>3.1339999999999999</v>
      </c>
    </row>
    <row r="23" spans="2:20">
      <c r="B23" t="s">
        <v>25</v>
      </c>
      <c r="D23">
        <v>3.1360000000000001</v>
      </c>
      <c r="I23">
        <f>ROUNDDOWN(D23,2)</f>
        <v>3.13</v>
      </c>
    </row>
    <row r="24" spans="2:20">
      <c r="B24" t="s">
        <v>26</v>
      </c>
      <c r="D24">
        <f ca="1">RAND()</f>
        <v>0.57490964220089125</v>
      </c>
    </row>
    <row r="25" spans="2:20">
      <c r="B25" t="s">
        <v>47</v>
      </c>
      <c r="D25">
        <f ca="1">RANDBETWEEN(1,6)</f>
        <v>1</v>
      </c>
    </row>
    <row r="28" spans="2:20">
      <c r="E28">
        <v>23</v>
      </c>
      <c r="F28" s="16">
        <v>43</v>
      </c>
      <c r="G28">
        <v>54</v>
      </c>
      <c r="H28">
        <v>76</v>
      </c>
      <c r="I28" s="16">
        <v>45</v>
      </c>
      <c r="J28">
        <v>24</v>
      </c>
      <c r="M28" s="16" t="s">
        <v>57</v>
      </c>
      <c r="N28">
        <f>SUM(F28:F38,I28:I38)</f>
        <v>968</v>
      </c>
    </row>
    <row r="29" spans="2:20">
      <c r="E29" s="17">
        <v>23</v>
      </c>
      <c r="F29" s="17">
        <v>43</v>
      </c>
      <c r="G29" s="17">
        <v>54</v>
      </c>
      <c r="H29" s="17">
        <v>76</v>
      </c>
      <c r="I29" s="17">
        <v>45</v>
      </c>
      <c r="J29" s="17">
        <v>24</v>
      </c>
      <c r="M29" s="17" t="s">
        <v>58</v>
      </c>
      <c r="N29">
        <f>AVERAGE(E29:J29,E31:J31,E34:J34)</f>
        <v>44.166666666666664</v>
      </c>
    </row>
    <row r="30" spans="2:20">
      <c r="E30">
        <v>23</v>
      </c>
      <c r="F30" s="16">
        <v>43</v>
      </c>
      <c r="G30">
        <v>54</v>
      </c>
      <c r="H30">
        <v>76</v>
      </c>
      <c r="I30" s="16">
        <v>45</v>
      </c>
      <c r="J30">
        <v>24</v>
      </c>
      <c r="M30" t="s">
        <v>59</v>
      </c>
      <c r="N30">
        <f>MAX(E28:J38)</f>
        <v>76</v>
      </c>
    </row>
    <row r="31" spans="2:20">
      <c r="E31" s="17">
        <v>23</v>
      </c>
      <c r="F31" s="17">
        <v>43</v>
      </c>
      <c r="G31" s="17">
        <v>54</v>
      </c>
      <c r="H31" s="17">
        <v>76</v>
      </c>
      <c r="I31" s="17">
        <v>45</v>
      </c>
      <c r="J31" s="17">
        <v>24</v>
      </c>
      <c r="M31" t="s">
        <v>60</v>
      </c>
      <c r="N31">
        <f>MIN(E28:J38)</f>
        <v>23</v>
      </c>
    </row>
    <row r="32" spans="2:20">
      <c r="E32">
        <v>23</v>
      </c>
      <c r="F32" s="16">
        <v>43</v>
      </c>
      <c r="G32">
        <v>54</v>
      </c>
      <c r="H32">
        <v>76</v>
      </c>
      <c r="I32" s="16">
        <v>45</v>
      </c>
      <c r="J32">
        <v>24</v>
      </c>
    </row>
    <row r="33" spans="2:10">
      <c r="E33">
        <v>23</v>
      </c>
      <c r="F33" s="16">
        <v>43</v>
      </c>
      <c r="G33">
        <v>54</v>
      </c>
      <c r="H33">
        <v>76</v>
      </c>
      <c r="I33" s="16">
        <v>45</v>
      </c>
      <c r="J33">
        <v>24</v>
      </c>
    </row>
    <row r="34" spans="2:10">
      <c r="E34" s="17">
        <v>23</v>
      </c>
      <c r="F34" s="17">
        <v>43</v>
      </c>
      <c r="G34" s="17">
        <v>54</v>
      </c>
      <c r="H34" s="17">
        <v>76</v>
      </c>
      <c r="I34" s="17">
        <v>45</v>
      </c>
      <c r="J34" s="17">
        <v>24</v>
      </c>
    </row>
    <row r="35" spans="2:10">
      <c r="E35">
        <v>23</v>
      </c>
      <c r="F35" s="16">
        <v>43</v>
      </c>
      <c r="G35">
        <v>54</v>
      </c>
      <c r="H35">
        <v>76</v>
      </c>
      <c r="I35" s="16">
        <v>45</v>
      </c>
      <c r="J35">
        <v>24</v>
      </c>
    </row>
    <row r="36" spans="2:10">
      <c r="E36">
        <v>23</v>
      </c>
      <c r="F36" s="16">
        <v>43</v>
      </c>
      <c r="G36">
        <v>54</v>
      </c>
      <c r="H36">
        <v>76</v>
      </c>
      <c r="I36" s="16">
        <v>45</v>
      </c>
      <c r="J36">
        <v>24</v>
      </c>
    </row>
    <row r="37" spans="2:10">
      <c r="E37">
        <v>23</v>
      </c>
      <c r="F37" s="16">
        <v>43</v>
      </c>
      <c r="G37">
        <v>54</v>
      </c>
      <c r="H37">
        <v>76</v>
      </c>
      <c r="I37" s="16">
        <v>45</v>
      </c>
      <c r="J37">
        <v>24</v>
      </c>
    </row>
    <row r="38" spans="2:10">
      <c r="E38">
        <v>23</v>
      </c>
      <c r="F38" s="16">
        <v>43</v>
      </c>
      <c r="G38">
        <v>54</v>
      </c>
      <c r="H38">
        <v>76</v>
      </c>
      <c r="I38" s="16">
        <v>45</v>
      </c>
      <c r="J38">
        <v>24</v>
      </c>
    </row>
    <row r="45" spans="2:10">
      <c r="B45" t="s">
        <v>29</v>
      </c>
      <c r="C45">
        <v>1</v>
      </c>
      <c r="D45">
        <v>1</v>
      </c>
      <c r="E45">
        <v>1</v>
      </c>
      <c r="F45" t="s">
        <v>3</v>
      </c>
      <c r="G45" t="s">
        <v>3</v>
      </c>
      <c r="H45" t="s">
        <v>3</v>
      </c>
      <c r="I45">
        <f>COUNT(C45:H45)</f>
        <v>3</v>
      </c>
    </row>
    <row r="46" spans="2:10">
      <c r="B46" t="s">
        <v>31</v>
      </c>
      <c r="C46">
        <v>1</v>
      </c>
      <c r="E46" t="s">
        <v>3</v>
      </c>
      <c r="F46" t="s">
        <v>3</v>
      </c>
      <c r="G46" t="s">
        <v>3</v>
      </c>
      <c r="H46">
        <v>1</v>
      </c>
      <c r="I46">
        <f>COUNTA(C46:H46)</f>
        <v>5</v>
      </c>
    </row>
    <row r="47" spans="2:10" ht="15.75">
      <c r="B47" t="s">
        <v>33</v>
      </c>
      <c r="C47">
        <v>10</v>
      </c>
      <c r="D47" s="5">
        <v>15</v>
      </c>
      <c r="E47" s="5">
        <v>20</v>
      </c>
      <c r="F47" s="5">
        <v>16</v>
      </c>
      <c r="G47" s="5">
        <v>18</v>
      </c>
      <c r="H47" s="5">
        <v>25</v>
      </c>
      <c r="I47">
        <f>COUNTIF(C47:H47,"&gt;=18")</f>
        <v>3</v>
      </c>
    </row>
    <row r="53" spans="3:11" ht="15.75">
      <c r="C53" s="13">
        <v>10</v>
      </c>
      <c r="D53" s="14">
        <v>15</v>
      </c>
      <c r="E53" s="14">
        <v>20</v>
      </c>
      <c r="F53" s="14">
        <v>16</v>
      </c>
      <c r="G53" s="14">
        <v>18</v>
      </c>
      <c r="H53" s="14">
        <v>25</v>
      </c>
      <c r="J53" t="s">
        <v>61</v>
      </c>
      <c r="K53">
        <f>COUNT(C53:H62)</f>
        <v>56</v>
      </c>
    </row>
    <row r="54" spans="3:11" ht="15.75">
      <c r="C54" s="13">
        <v>10</v>
      </c>
      <c r="D54" s="14">
        <v>15</v>
      </c>
      <c r="E54" s="14" t="s">
        <v>62</v>
      </c>
      <c r="F54" s="14">
        <v>16</v>
      </c>
      <c r="G54" s="14">
        <v>18</v>
      </c>
      <c r="H54" s="14">
        <v>25</v>
      </c>
      <c r="J54" t="s">
        <v>63</v>
      </c>
      <c r="K54">
        <f>COUNTA(C53:H62)</f>
        <v>60</v>
      </c>
    </row>
    <row r="55" spans="3:11" ht="15.75">
      <c r="C55" s="13">
        <v>10</v>
      </c>
      <c r="D55" s="14">
        <v>15</v>
      </c>
      <c r="E55" s="14">
        <v>20</v>
      </c>
      <c r="F55" s="14">
        <v>16</v>
      </c>
      <c r="G55" s="14">
        <v>18</v>
      </c>
      <c r="H55" s="14">
        <v>25</v>
      </c>
      <c r="J55" t="s">
        <v>64</v>
      </c>
      <c r="K55">
        <f>COUNTIF(C53:H62,"&gt;=100")</f>
        <v>4</v>
      </c>
    </row>
    <row r="56" spans="3:11" ht="15.75">
      <c r="C56" s="13">
        <v>-10</v>
      </c>
      <c r="D56" s="14" t="s">
        <v>62</v>
      </c>
      <c r="E56" s="14">
        <v>20</v>
      </c>
      <c r="F56" s="14">
        <v>-16</v>
      </c>
      <c r="G56" s="14">
        <v>180</v>
      </c>
      <c r="H56" s="14">
        <v>250</v>
      </c>
      <c r="J56" t="s">
        <v>65</v>
      </c>
      <c r="K56">
        <f>COUNTIF(C53:H62,"&lt;0")</f>
        <v>3</v>
      </c>
    </row>
    <row r="57" spans="3:11" ht="30">
      <c r="C57" s="13">
        <v>10</v>
      </c>
      <c r="D57" s="14">
        <v>15</v>
      </c>
      <c r="E57" s="14">
        <v>20</v>
      </c>
      <c r="F57" s="14">
        <v>16</v>
      </c>
      <c r="G57" s="14">
        <v>18</v>
      </c>
      <c r="H57" s="14">
        <v>25</v>
      </c>
      <c r="J57" s="18" t="s">
        <v>66</v>
      </c>
      <c r="K57">
        <f>COUNTIF(C53:H62,"&gt;=18")</f>
        <v>29</v>
      </c>
    </row>
    <row r="58" spans="3:11" ht="15.75">
      <c r="C58" s="13">
        <v>10</v>
      </c>
      <c r="D58" s="14">
        <v>15</v>
      </c>
      <c r="E58" s="14">
        <v>20</v>
      </c>
      <c r="F58" s="14">
        <v>16</v>
      </c>
      <c r="G58" s="14" t="s">
        <v>62</v>
      </c>
      <c r="H58" s="14">
        <v>25</v>
      </c>
      <c r="J58" t="s">
        <v>67</v>
      </c>
      <c r="K58">
        <f>SUM(K55:K56)</f>
        <v>7</v>
      </c>
    </row>
    <row r="59" spans="3:11" ht="15.75">
      <c r="C59" s="13">
        <v>10</v>
      </c>
      <c r="D59" s="14">
        <v>150</v>
      </c>
      <c r="E59" s="14">
        <v>200</v>
      </c>
      <c r="F59" s="14">
        <v>16</v>
      </c>
      <c r="G59" s="14">
        <v>18</v>
      </c>
      <c r="H59" s="14">
        <v>25</v>
      </c>
    </row>
    <row r="60" spans="3:11" ht="15.75">
      <c r="C60" s="13" t="s">
        <v>62</v>
      </c>
      <c r="D60" s="14">
        <v>15</v>
      </c>
      <c r="E60" s="14">
        <v>20</v>
      </c>
      <c r="F60" s="14">
        <v>16</v>
      </c>
      <c r="G60" s="14">
        <v>18</v>
      </c>
      <c r="H60" s="14">
        <v>25</v>
      </c>
    </row>
    <row r="61" spans="3:11" ht="15.75">
      <c r="C61" s="13">
        <v>-10</v>
      </c>
      <c r="D61" s="14">
        <v>15</v>
      </c>
      <c r="E61" s="14">
        <v>20</v>
      </c>
      <c r="F61" s="14">
        <v>16</v>
      </c>
      <c r="G61" s="14">
        <v>18</v>
      </c>
      <c r="H61" s="14">
        <v>25</v>
      </c>
    </row>
    <row r="62" spans="3:11" ht="15.75">
      <c r="C62" s="13">
        <v>10</v>
      </c>
      <c r="D62" s="14">
        <v>15</v>
      </c>
      <c r="E62" s="14">
        <v>20</v>
      </c>
      <c r="F62" s="14">
        <v>16</v>
      </c>
      <c r="G62" s="14">
        <v>18</v>
      </c>
      <c r="H62" s="14">
        <v>25</v>
      </c>
      <c r="J62" t="s">
        <v>61</v>
      </c>
      <c r="K62">
        <f>COUNT(C53:H620)</f>
        <v>56</v>
      </c>
    </row>
    <row r="63" spans="3:11">
      <c r="J63" t="s">
        <v>63</v>
      </c>
      <c r="K63">
        <f>COUNTA(C53:H62)</f>
        <v>60</v>
      </c>
    </row>
    <row r="64" spans="3:11">
      <c r="J64" t="s">
        <v>64</v>
      </c>
      <c r="K64">
        <f>COUNTIF(C53:H62,"&gt;=100")</f>
        <v>4</v>
      </c>
    </row>
    <row r="65" spans="10:11">
      <c r="J65" t="s">
        <v>65</v>
      </c>
      <c r="K65">
        <f>COUNTIF(C53:H62,"&lt;0")</f>
        <v>3</v>
      </c>
    </row>
    <row r="66" spans="10:11" ht="30">
      <c r="J66" s="18" t="s">
        <v>66</v>
      </c>
      <c r="K66">
        <f>COUNTIF(C53:H62,"&gt;=18")</f>
        <v>29</v>
      </c>
    </row>
    <row r="67" spans="10:11">
      <c r="J67" t="s">
        <v>67</v>
      </c>
      <c r="K67">
        <f>SUM(K64:K65)</f>
        <v>7</v>
      </c>
    </row>
  </sheetData>
  <mergeCells count="1"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Introduction to Excel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shobita Bedi</dc:creator>
  <cp:lastModifiedBy>shobita Bedi</cp:lastModifiedBy>
  <dcterms:created xsi:type="dcterms:W3CDTF">2015-06-05T18:17:20Z</dcterms:created>
  <dcterms:modified xsi:type="dcterms:W3CDTF">2025-09-04T15:18:20Z</dcterms:modified>
</cp:coreProperties>
</file>